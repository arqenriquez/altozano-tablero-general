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06. ALTOZANO - TABLERO GENERAL/data/reportes/"/>
    </mc:Choice>
  </mc:AlternateContent>
  <xr:revisionPtr revIDLastSave="0" documentId="8_{A5C5E1A8-547B-4535-A206-D706C95E6D7A}" xr6:coauthVersionLast="47" xr6:coauthVersionMax="47" xr10:uidLastSave="{00000000-0000-0000-0000-000000000000}"/>
  <bookViews>
    <workbookView xWindow="-120" yWindow="-120" windowWidth="29040" windowHeight="15720" xr2:uid="{C43E5813-81DF-4711-814F-F72BD395C9AB}"/>
  </bookViews>
  <sheets>
    <sheet name="REPORTE" sheetId="1" r:id="rId1"/>
    <sheet name="AVANCES" sheetId="13" r:id="rId2"/>
    <sheet name="CURVA S BASE" sheetId="11" r:id="rId3"/>
    <sheet name="FLUJOS" sheetId="12" r:id="rId4"/>
  </sheets>
  <definedNames>
    <definedName name="_xlnm.Print_Area" localSheetId="0">REPORTE!$A$1:$N$340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1" l="1"/>
  <c r="H4" i="13"/>
  <c r="G4" i="13"/>
  <c r="H1463" i="13"/>
  <c r="G1463" i="13"/>
  <c r="H1462" i="13"/>
  <c r="G1462" i="13"/>
  <c r="H1460" i="13"/>
  <c r="G1460" i="13"/>
  <c r="H1459" i="13"/>
  <c r="G1459" i="13"/>
  <c r="G1458" i="13" s="1"/>
  <c r="H1458" i="13"/>
  <c r="F1458" i="13"/>
  <c r="H1457" i="13"/>
  <c r="H1456" i="13" s="1"/>
  <c r="G1457" i="13"/>
  <c r="G1456" i="13" s="1"/>
  <c r="E1456" i="13" s="1"/>
  <c r="B47" i="1"/>
  <c r="B46" i="1"/>
  <c r="B45" i="1"/>
  <c r="B44" i="1"/>
  <c r="B43" i="1"/>
  <c r="B42" i="1"/>
  <c r="H1156" i="13"/>
  <c r="G1156" i="13"/>
  <c r="H857" i="13"/>
  <c r="G857" i="13"/>
  <c r="H558" i="13"/>
  <c r="G558" i="13"/>
  <c r="H259" i="13"/>
  <c r="G259" i="13"/>
  <c r="H1707" i="13"/>
  <c r="G1707" i="13"/>
  <c r="H1703" i="13"/>
  <c r="H1704" i="13"/>
  <c r="H1705" i="13"/>
  <c r="G1703" i="13"/>
  <c r="G1704" i="13"/>
  <c r="G1705" i="13"/>
  <c r="H1699" i="13"/>
  <c r="H1700" i="13"/>
  <c r="H1701" i="13"/>
  <c r="G1699" i="13"/>
  <c r="G1700" i="13"/>
  <c r="G1701" i="13"/>
  <c r="H1692" i="13"/>
  <c r="H1693" i="13"/>
  <c r="H1694" i="13"/>
  <c r="H1695" i="13"/>
  <c r="H1696" i="13"/>
  <c r="H1697" i="13"/>
  <c r="G1692" i="13"/>
  <c r="G1693" i="13"/>
  <c r="G1694" i="13"/>
  <c r="G1695" i="13"/>
  <c r="G1696" i="13"/>
  <c r="G1697" i="13"/>
  <c r="H1683" i="13"/>
  <c r="H1684" i="13"/>
  <c r="H1685" i="13"/>
  <c r="H1686" i="13"/>
  <c r="H1687" i="13"/>
  <c r="H1688" i="13"/>
  <c r="H1689" i="13"/>
  <c r="H1690" i="13"/>
  <c r="G1683" i="13"/>
  <c r="G1684" i="13"/>
  <c r="G1685" i="13"/>
  <c r="G1686" i="13"/>
  <c r="G1687" i="13"/>
  <c r="G1688" i="13"/>
  <c r="G1689" i="13"/>
  <c r="G1690" i="13"/>
  <c r="H1680" i="13"/>
  <c r="H1681" i="13"/>
  <c r="G1680" i="13"/>
  <c r="G1681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G1654" i="13"/>
  <c r="G1655" i="13"/>
  <c r="G1656" i="13"/>
  <c r="G1657" i="13"/>
  <c r="G1658" i="13"/>
  <c r="G1659" i="13"/>
  <c r="G1660" i="13"/>
  <c r="G1661" i="13"/>
  <c r="G1662" i="13"/>
  <c r="G1663" i="13"/>
  <c r="G1664" i="13"/>
  <c r="G1665" i="13"/>
  <c r="G1666" i="13"/>
  <c r="G1667" i="13"/>
  <c r="G1668" i="13"/>
  <c r="G1669" i="13"/>
  <c r="G1670" i="13"/>
  <c r="G1671" i="13"/>
  <c r="G1672" i="13"/>
  <c r="G1673" i="13"/>
  <c r="G1674" i="13"/>
  <c r="G1675" i="13"/>
  <c r="G1676" i="13"/>
  <c r="G1677" i="13"/>
  <c r="G1678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G1636" i="13"/>
  <c r="G1637" i="13"/>
  <c r="G1638" i="13"/>
  <c r="G1639" i="13"/>
  <c r="G1640" i="13"/>
  <c r="G1641" i="13"/>
  <c r="G1642" i="13"/>
  <c r="G1643" i="13"/>
  <c r="G1644" i="13"/>
  <c r="G1645" i="13"/>
  <c r="G1646" i="13"/>
  <c r="G1647" i="13"/>
  <c r="G1648" i="13"/>
  <c r="G1649" i="13"/>
  <c r="G1650" i="13"/>
  <c r="G1651" i="13"/>
  <c r="G1652" i="13"/>
  <c r="H1631" i="13"/>
  <c r="H1632" i="13"/>
  <c r="H1633" i="13"/>
  <c r="H1634" i="13"/>
  <c r="G1631" i="13"/>
  <c r="G1632" i="13"/>
  <c r="G1633" i="13"/>
  <c r="G1634" i="13"/>
  <c r="H1624" i="13"/>
  <c r="H1625" i="13"/>
  <c r="H1626" i="13"/>
  <c r="H1627" i="13"/>
  <c r="H1628" i="13"/>
  <c r="H1629" i="13"/>
  <c r="G1624" i="13"/>
  <c r="G1625" i="13"/>
  <c r="G1626" i="13"/>
  <c r="G1627" i="13"/>
  <c r="G1628" i="13"/>
  <c r="G1629" i="13"/>
  <c r="H1621" i="13"/>
  <c r="H1622" i="13"/>
  <c r="G1621" i="13"/>
  <c r="G1622" i="13"/>
  <c r="H1619" i="13"/>
  <c r="G1619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G1604" i="13"/>
  <c r="G1605" i="13"/>
  <c r="G1606" i="13"/>
  <c r="G1607" i="13"/>
  <c r="G1608" i="13"/>
  <c r="G1609" i="13"/>
  <c r="G1610" i="13"/>
  <c r="G1611" i="13"/>
  <c r="G1612" i="13"/>
  <c r="G1613" i="13"/>
  <c r="G1614" i="13"/>
  <c r="G1615" i="13"/>
  <c r="G1616" i="13"/>
  <c r="G1617" i="13"/>
  <c r="H1597" i="13"/>
  <c r="H1598" i="13"/>
  <c r="H1599" i="13"/>
  <c r="H1600" i="13"/>
  <c r="H1601" i="13"/>
  <c r="H1602" i="13"/>
  <c r="G1597" i="13"/>
  <c r="G1598" i="13"/>
  <c r="G1599" i="13"/>
  <c r="G1600" i="13"/>
  <c r="G1601" i="13"/>
  <c r="G1602" i="13"/>
  <c r="H1592" i="13"/>
  <c r="H1593" i="13"/>
  <c r="H1594" i="13"/>
  <c r="H1595" i="13"/>
  <c r="G1592" i="13"/>
  <c r="G1593" i="13"/>
  <c r="G1594" i="13"/>
  <c r="G1595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G1573" i="13"/>
  <c r="G1574" i="13"/>
  <c r="G1575" i="13"/>
  <c r="G1576" i="13"/>
  <c r="G1577" i="13"/>
  <c r="G1578" i="13"/>
  <c r="G1579" i="13"/>
  <c r="G1580" i="13"/>
  <c r="G1581" i="13"/>
  <c r="G1582" i="13"/>
  <c r="G1583" i="13"/>
  <c r="G1584" i="13"/>
  <c r="G1585" i="13"/>
  <c r="G1586" i="13"/>
  <c r="G1587" i="13"/>
  <c r="G1588" i="13"/>
  <c r="G1589" i="13"/>
  <c r="G1590" i="13"/>
  <c r="H1570" i="13"/>
  <c r="H1571" i="13"/>
  <c r="G1570" i="13"/>
  <c r="G1571" i="13"/>
  <c r="H1567" i="13"/>
  <c r="H1568" i="13"/>
  <c r="G1567" i="13"/>
  <c r="G1568" i="13"/>
  <c r="H1559" i="13"/>
  <c r="H1560" i="13"/>
  <c r="H1561" i="13"/>
  <c r="H1562" i="13"/>
  <c r="H1563" i="13"/>
  <c r="H1564" i="13"/>
  <c r="H1565" i="13"/>
  <c r="G1559" i="13"/>
  <c r="G1560" i="13"/>
  <c r="G1561" i="13"/>
  <c r="G1562" i="13"/>
  <c r="G1563" i="13"/>
  <c r="G1564" i="13"/>
  <c r="G1565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G1544" i="13"/>
  <c r="G1545" i="13"/>
  <c r="G1546" i="13"/>
  <c r="G1547" i="13"/>
  <c r="G1548" i="13"/>
  <c r="G1549" i="13"/>
  <c r="G1550" i="13"/>
  <c r="G1551" i="13"/>
  <c r="G1552" i="13"/>
  <c r="G1553" i="13"/>
  <c r="G1554" i="13"/>
  <c r="G1555" i="13"/>
  <c r="G1556" i="13"/>
  <c r="G1557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G1532" i="13"/>
  <c r="G1533" i="13"/>
  <c r="G1534" i="13"/>
  <c r="G1535" i="13"/>
  <c r="G1536" i="13"/>
  <c r="G1537" i="13"/>
  <c r="G1538" i="13"/>
  <c r="G1539" i="13"/>
  <c r="G1540" i="13"/>
  <c r="G1541" i="13"/>
  <c r="G1542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G1506" i="13"/>
  <c r="G1507" i="13"/>
  <c r="G1508" i="13"/>
  <c r="G1509" i="13"/>
  <c r="G1510" i="13"/>
  <c r="G1511" i="13"/>
  <c r="G1512" i="13"/>
  <c r="G1513" i="13"/>
  <c r="G1514" i="13"/>
  <c r="G1515" i="13"/>
  <c r="G1516" i="13"/>
  <c r="G1517" i="13"/>
  <c r="G1518" i="13"/>
  <c r="G1519" i="13"/>
  <c r="G1520" i="13"/>
  <c r="G1521" i="13"/>
  <c r="G1522" i="13"/>
  <c r="G1523" i="13"/>
  <c r="G1524" i="13"/>
  <c r="G1525" i="13"/>
  <c r="G1526" i="13"/>
  <c r="G1527" i="13"/>
  <c r="G1528" i="13"/>
  <c r="G1529" i="13"/>
  <c r="G1530" i="13"/>
  <c r="H1504" i="13"/>
  <c r="G1504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G1489" i="13"/>
  <c r="G1490" i="13"/>
  <c r="G1491" i="13"/>
  <c r="G1492" i="13"/>
  <c r="G1493" i="13"/>
  <c r="G1494" i="13"/>
  <c r="G1495" i="13"/>
  <c r="G1496" i="13"/>
  <c r="G1497" i="13"/>
  <c r="G1498" i="13"/>
  <c r="G1499" i="13"/>
  <c r="G1500" i="13"/>
  <c r="G1501" i="13"/>
  <c r="G1502" i="13"/>
  <c r="H1479" i="13"/>
  <c r="H1480" i="13"/>
  <c r="H1481" i="13"/>
  <c r="H1482" i="13"/>
  <c r="H1483" i="13"/>
  <c r="H1484" i="13"/>
  <c r="H1485" i="13"/>
  <c r="H1486" i="13"/>
  <c r="H1487" i="13"/>
  <c r="G1479" i="13"/>
  <c r="G1480" i="13"/>
  <c r="G1481" i="13"/>
  <c r="G1482" i="13"/>
  <c r="G1483" i="13"/>
  <c r="G1484" i="13"/>
  <c r="G1485" i="13"/>
  <c r="G1486" i="13"/>
  <c r="G1487" i="13"/>
  <c r="H1478" i="13"/>
  <c r="G1478" i="13"/>
  <c r="H1477" i="13"/>
  <c r="G1477" i="13"/>
  <c r="H1476" i="13"/>
  <c r="G1476" i="13"/>
  <c r="H1475" i="13"/>
  <c r="G1475" i="13"/>
  <c r="H1474" i="13"/>
  <c r="G1474" i="13"/>
  <c r="H1473" i="13"/>
  <c r="G1473" i="13"/>
  <c r="H1472" i="13"/>
  <c r="G1472" i="13"/>
  <c r="H1471" i="13"/>
  <c r="G1471" i="13"/>
  <c r="H1470" i="13"/>
  <c r="G1470" i="13"/>
  <c r="H1469" i="13"/>
  <c r="G1469" i="13"/>
  <c r="H1468" i="13"/>
  <c r="G1468" i="13"/>
  <c r="H1467" i="13"/>
  <c r="G1467" i="13"/>
  <c r="H1466" i="13"/>
  <c r="G1466" i="13"/>
  <c r="H1465" i="13"/>
  <c r="G1465" i="13"/>
  <c r="H1464" i="13"/>
  <c r="G1464" i="13"/>
  <c r="H1454" i="13"/>
  <c r="G1454" i="13"/>
  <c r="H1453" i="13"/>
  <c r="G1453" i="13"/>
  <c r="H1452" i="13"/>
  <c r="G1452" i="13"/>
  <c r="H1450" i="13"/>
  <c r="G1450" i="13"/>
  <c r="H1449" i="13"/>
  <c r="G1449" i="13"/>
  <c r="H1447" i="13"/>
  <c r="G1447" i="13"/>
  <c r="H1445" i="13"/>
  <c r="G1445" i="13"/>
  <c r="H1444" i="13"/>
  <c r="G1444" i="13"/>
  <c r="H1443" i="13"/>
  <c r="G1443" i="13"/>
  <c r="H1442" i="13"/>
  <c r="G1442" i="13"/>
  <c r="H1441" i="13"/>
  <c r="G1441" i="13"/>
  <c r="H1440" i="13"/>
  <c r="G1440" i="13"/>
  <c r="H1439" i="13"/>
  <c r="G1439" i="13"/>
  <c r="H1438" i="13"/>
  <c r="G1438" i="13"/>
  <c r="H1436" i="13"/>
  <c r="G1436" i="13"/>
  <c r="H1435" i="13"/>
  <c r="G1435" i="13"/>
  <c r="H1434" i="13"/>
  <c r="G1434" i="13"/>
  <c r="H1433" i="13"/>
  <c r="G1433" i="13"/>
  <c r="H1432" i="13"/>
  <c r="G1432" i="13"/>
  <c r="H1431" i="13"/>
  <c r="G1431" i="13"/>
  <c r="H1429" i="13"/>
  <c r="G1429" i="13"/>
  <c r="H1428" i="13"/>
  <c r="G1428" i="13"/>
  <c r="H1427" i="13"/>
  <c r="G1427" i="13"/>
  <c r="H1426" i="13"/>
  <c r="G1426" i="13"/>
  <c r="H1425" i="13"/>
  <c r="G1425" i="13"/>
  <c r="H1424" i="13"/>
  <c r="G1424" i="13"/>
  <c r="H1423" i="13"/>
  <c r="G1423" i="13"/>
  <c r="H1422" i="13"/>
  <c r="G1422" i="13"/>
  <c r="H1421" i="13"/>
  <c r="G1421" i="13"/>
  <c r="H1419" i="13"/>
  <c r="G1419" i="13"/>
  <c r="H1418" i="13"/>
  <c r="G1418" i="13"/>
  <c r="H1416" i="13"/>
  <c r="G1416" i="13"/>
  <c r="H1415" i="13"/>
  <c r="G1415" i="13"/>
  <c r="H1414" i="13"/>
  <c r="G1414" i="13"/>
  <c r="H1413" i="13"/>
  <c r="G1413" i="13"/>
  <c r="H1412" i="13"/>
  <c r="G1412" i="13"/>
  <c r="H1411" i="13"/>
  <c r="G1411" i="13"/>
  <c r="H1410" i="13"/>
  <c r="G1410" i="13"/>
  <c r="H1409" i="13"/>
  <c r="G1409" i="13"/>
  <c r="H1408" i="13"/>
  <c r="G1408" i="13"/>
  <c r="H1407" i="13"/>
  <c r="G1407" i="13"/>
  <c r="H1406" i="13"/>
  <c r="G1406" i="13"/>
  <c r="H1405" i="13"/>
  <c r="G1405" i="13"/>
  <c r="H1404" i="13"/>
  <c r="G1404" i="13"/>
  <c r="H1403" i="13"/>
  <c r="G1403" i="13"/>
  <c r="H1402" i="13"/>
  <c r="G1402" i="13"/>
  <c r="H1401" i="13"/>
  <c r="G1401" i="13"/>
  <c r="H1400" i="13"/>
  <c r="G1400" i="13"/>
  <c r="H1399" i="13"/>
  <c r="G1399" i="13"/>
  <c r="H1398" i="13"/>
  <c r="G1398" i="13"/>
  <c r="H1397" i="13"/>
  <c r="G1397" i="13"/>
  <c r="H1396" i="13"/>
  <c r="G1396" i="13"/>
  <c r="H1395" i="13"/>
  <c r="G1395" i="13"/>
  <c r="H1394" i="13"/>
  <c r="G1394" i="13"/>
  <c r="H1393" i="13"/>
  <c r="G1393" i="13"/>
  <c r="H1392" i="13"/>
  <c r="G1392" i="13"/>
  <c r="H1391" i="13"/>
  <c r="G1391" i="13"/>
  <c r="H1390" i="13"/>
  <c r="G1390" i="13"/>
  <c r="H1389" i="13"/>
  <c r="G1389" i="13"/>
  <c r="H1388" i="13"/>
  <c r="G1388" i="13"/>
  <c r="H1387" i="13"/>
  <c r="G1387" i="13"/>
  <c r="H1385" i="13"/>
  <c r="G1385" i="13"/>
  <c r="H1384" i="13"/>
  <c r="G1384" i="13"/>
  <c r="H1383" i="13"/>
  <c r="G1383" i="13"/>
  <c r="H1382" i="13"/>
  <c r="G1382" i="13"/>
  <c r="H1381" i="13"/>
  <c r="G1381" i="13"/>
  <c r="H1380" i="13"/>
  <c r="G1380" i="13"/>
  <c r="H1379" i="13"/>
  <c r="G1379" i="13"/>
  <c r="H1378" i="13"/>
  <c r="G1378" i="13"/>
  <c r="H1377" i="13"/>
  <c r="G1377" i="13"/>
  <c r="H1376" i="13"/>
  <c r="G1376" i="13"/>
  <c r="H1375" i="13"/>
  <c r="G1375" i="13"/>
  <c r="H1374" i="13"/>
  <c r="G1374" i="13"/>
  <c r="H1373" i="13"/>
  <c r="G1373" i="13"/>
  <c r="H1372" i="13"/>
  <c r="G1372" i="13"/>
  <c r="H1370" i="13"/>
  <c r="G1370" i="13"/>
  <c r="H1369" i="13"/>
  <c r="G1369" i="13"/>
  <c r="H1368" i="13"/>
  <c r="G1368" i="13"/>
  <c r="H1367" i="13"/>
  <c r="G1367" i="13"/>
  <c r="H1366" i="13"/>
  <c r="G1366" i="13"/>
  <c r="H1365" i="13"/>
  <c r="G1365" i="13"/>
  <c r="H1364" i="13"/>
  <c r="G1364" i="13"/>
  <c r="H1363" i="13"/>
  <c r="G1363" i="13"/>
  <c r="H1361" i="13"/>
  <c r="G1361" i="13"/>
  <c r="H1360" i="13"/>
  <c r="G1360" i="13"/>
  <c r="H1359" i="13"/>
  <c r="G1359" i="13"/>
  <c r="H1358" i="13"/>
  <c r="G1358" i="13"/>
  <c r="H1357" i="13"/>
  <c r="G1357" i="13"/>
  <c r="H1355" i="13"/>
  <c r="G1355" i="13"/>
  <c r="H1354" i="13"/>
  <c r="G1354" i="13"/>
  <c r="H1353" i="13"/>
  <c r="G1353" i="13"/>
  <c r="H1352" i="13"/>
  <c r="G1352" i="13"/>
  <c r="H1351" i="13"/>
  <c r="G1351" i="13"/>
  <c r="H1350" i="13"/>
  <c r="G1350" i="13"/>
  <c r="H1349" i="13"/>
  <c r="G1349" i="13"/>
  <c r="H1348" i="13"/>
  <c r="G1348" i="13"/>
  <c r="H1347" i="13"/>
  <c r="G1347" i="13"/>
  <c r="H1346" i="13"/>
  <c r="G1346" i="13"/>
  <c r="H1344" i="13"/>
  <c r="G1344" i="13"/>
  <c r="H1343" i="13"/>
  <c r="G1343" i="13"/>
  <c r="H1341" i="13"/>
  <c r="G1341" i="13"/>
  <c r="H1339" i="13"/>
  <c r="G1339" i="13"/>
  <c r="H1338" i="13"/>
  <c r="G1338" i="13"/>
  <c r="H1337" i="13"/>
  <c r="G1337" i="13"/>
  <c r="H1336" i="13"/>
  <c r="G1336" i="13"/>
  <c r="H1335" i="13"/>
  <c r="G1335" i="13"/>
  <c r="H1334" i="13"/>
  <c r="G1334" i="13"/>
  <c r="H1333" i="13"/>
  <c r="G1333" i="13"/>
  <c r="H1332" i="13"/>
  <c r="G1332" i="13"/>
  <c r="H1331" i="13"/>
  <c r="G1331" i="13"/>
  <c r="H1330" i="13"/>
  <c r="G1330" i="13"/>
  <c r="H1329" i="13"/>
  <c r="G1329" i="13"/>
  <c r="H1328" i="13"/>
  <c r="G1328" i="13"/>
  <c r="H1327" i="13"/>
  <c r="G1327" i="13"/>
  <c r="H1326" i="13"/>
  <c r="G1326" i="13"/>
  <c r="H1325" i="13"/>
  <c r="G1325" i="13"/>
  <c r="H1324" i="13"/>
  <c r="G1324" i="13"/>
  <c r="H1322" i="13"/>
  <c r="G1322" i="13"/>
  <c r="H1321" i="13"/>
  <c r="G1321" i="13"/>
  <c r="H1320" i="13"/>
  <c r="G1320" i="13"/>
  <c r="H1319" i="13"/>
  <c r="G1319" i="13"/>
  <c r="H1318" i="13"/>
  <c r="G1318" i="13"/>
  <c r="H1317" i="13"/>
  <c r="G1317" i="13"/>
  <c r="H1316" i="13"/>
  <c r="G1316" i="13"/>
  <c r="H1314" i="13"/>
  <c r="G1314" i="13"/>
  <c r="H1313" i="13"/>
  <c r="G1313" i="13"/>
  <c r="H1312" i="13"/>
  <c r="G1312" i="13"/>
  <c r="H1311" i="13"/>
  <c r="G1311" i="13"/>
  <c r="H1310" i="13"/>
  <c r="G1310" i="13"/>
  <c r="H1309" i="13"/>
  <c r="G1309" i="13"/>
  <c r="H1308" i="13"/>
  <c r="G1308" i="13"/>
  <c r="H1307" i="13"/>
  <c r="G1307" i="13"/>
  <c r="H1305" i="13"/>
  <c r="G1305" i="13"/>
  <c r="H1304" i="13"/>
  <c r="G1304" i="13"/>
  <c r="H1303" i="13"/>
  <c r="G1303" i="13"/>
  <c r="H1302" i="13"/>
  <c r="G1302" i="13"/>
  <c r="H1301" i="13"/>
  <c r="G1301" i="13"/>
  <c r="H1300" i="13"/>
  <c r="G1300" i="13"/>
  <c r="H1299" i="13"/>
  <c r="G1299" i="13"/>
  <c r="H1298" i="13"/>
  <c r="G1298" i="13"/>
  <c r="H1297" i="13"/>
  <c r="G1297" i="13"/>
  <c r="H1296" i="13"/>
  <c r="G1296" i="13"/>
  <c r="H1295" i="13"/>
  <c r="G1295" i="13"/>
  <c r="H1294" i="13"/>
  <c r="G1294" i="13"/>
  <c r="H1293" i="13"/>
  <c r="G1293" i="13"/>
  <c r="H1292" i="13"/>
  <c r="G1292" i="13"/>
  <c r="H1291" i="13"/>
  <c r="G1291" i="13"/>
  <c r="H1290" i="13"/>
  <c r="G1290" i="13"/>
  <c r="H1289" i="13"/>
  <c r="G1289" i="13"/>
  <c r="H1288" i="13"/>
  <c r="G1288" i="13"/>
  <c r="H1287" i="13"/>
  <c r="G1287" i="13"/>
  <c r="H1286" i="13"/>
  <c r="G1286" i="13"/>
  <c r="H1285" i="13"/>
  <c r="G1285" i="13"/>
  <c r="H1284" i="13"/>
  <c r="G1284" i="13"/>
  <c r="H1283" i="13"/>
  <c r="G1283" i="13"/>
  <c r="H1282" i="13"/>
  <c r="G1282" i="13"/>
  <c r="H1281" i="13"/>
  <c r="G1281" i="13"/>
  <c r="H1280" i="13"/>
  <c r="G1280" i="13"/>
  <c r="H1278" i="13"/>
  <c r="G1278" i="13"/>
  <c r="H1277" i="13"/>
  <c r="G1277" i="13"/>
  <c r="H1275" i="13"/>
  <c r="G1275" i="13"/>
  <c r="H1274" i="13"/>
  <c r="G1274" i="13"/>
  <c r="H1272" i="13"/>
  <c r="G1272" i="13"/>
  <c r="H1271" i="13"/>
  <c r="G1271" i="13"/>
  <c r="H1270" i="13"/>
  <c r="G1270" i="13"/>
  <c r="H1269" i="13"/>
  <c r="G1269" i="13"/>
  <c r="H1268" i="13"/>
  <c r="G1268" i="13"/>
  <c r="H1267" i="13"/>
  <c r="G1267" i="13"/>
  <c r="H1266" i="13"/>
  <c r="G1266" i="13"/>
  <c r="H1265" i="13"/>
  <c r="G1265" i="13"/>
  <c r="H1263" i="13"/>
  <c r="G1263" i="13"/>
  <c r="H1262" i="13"/>
  <c r="G1262" i="13"/>
  <c r="H1261" i="13"/>
  <c r="G1261" i="13"/>
  <c r="H1260" i="13"/>
  <c r="G1260" i="13"/>
  <c r="H1259" i="13"/>
  <c r="G1259" i="13"/>
  <c r="H1258" i="13"/>
  <c r="G1258" i="13"/>
  <c r="H1257" i="13"/>
  <c r="G1257" i="13"/>
  <c r="H1256" i="13"/>
  <c r="G1256" i="13"/>
  <c r="H1255" i="13"/>
  <c r="G1255" i="13"/>
  <c r="H1254" i="13"/>
  <c r="G1254" i="13"/>
  <c r="H1253" i="13"/>
  <c r="G1253" i="13"/>
  <c r="H1252" i="13"/>
  <c r="G1252" i="13"/>
  <c r="H1251" i="13"/>
  <c r="G1251" i="13"/>
  <c r="H1250" i="13"/>
  <c r="G1250" i="13"/>
  <c r="H1249" i="13"/>
  <c r="G1249" i="13"/>
  <c r="H1248" i="13"/>
  <c r="G1248" i="13"/>
  <c r="H1247" i="13"/>
  <c r="G1247" i="13"/>
  <c r="H1246" i="13"/>
  <c r="G1246" i="13"/>
  <c r="H1244" i="13"/>
  <c r="G1244" i="13"/>
  <c r="H1243" i="13"/>
  <c r="G1243" i="13"/>
  <c r="H1242" i="13"/>
  <c r="G1242" i="13"/>
  <c r="H1241" i="13"/>
  <c r="G1241" i="13"/>
  <c r="H1240" i="13"/>
  <c r="G1240" i="13"/>
  <c r="H1239" i="13"/>
  <c r="G1239" i="13"/>
  <c r="H1238" i="13"/>
  <c r="G1238" i="13"/>
  <c r="H1237" i="13"/>
  <c r="G1237" i="13"/>
  <c r="H1236" i="13"/>
  <c r="G1236" i="13"/>
  <c r="H1235" i="13"/>
  <c r="G1235" i="13"/>
  <c r="H1234" i="13"/>
  <c r="G1234" i="13"/>
  <c r="H1233" i="13"/>
  <c r="G1233" i="13"/>
  <c r="H1232" i="13"/>
  <c r="G1232" i="13"/>
  <c r="H1230" i="13"/>
  <c r="G1230" i="13"/>
  <c r="H1229" i="13"/>
  <c r="G1229" i="13"/>
  <c r="H1228" i="13"/>
  <c r="G1228" i="13"/>
  <c r="H1227" i="13"/>
  <c r="G1227" i="13"/>
  <c r="H1226" i="13"/>
  <c r="G1226" i="13"/>
  <c r="H1225" i="13"/>
  <c r="G1225" i="13"/>
  <c r="H1224" i="13"/>
  <c r="G1224" i="13"/>
  <c r="H1223" i="13"/>
  <c r="G1223" i="13"/>
  <c r="H1222" i="13"/>
  <c r="G1222" i="13"/>
  <c r="H1221" i="13"/>
  <c r="G1221" i="13"/>
  <c r="H1220" i="13"/>
  <c r="G1220" i="13"/>
  <c r="H1219" i="13"/>
  <c r="G1219" i="13"/>
  <c r="H1218" i="13"/>
  <c r="G1218" i="13"/>
  <c r="H1217" i="13"/>
  <c r="G1217" i="13"/>
  <c r="H1216" i="13"/>
  <c r="G1216" i="13"/>
  <c r="H1215" i="13"/>
  <c r="G1215" i="13"/>
  <c r="H1214" i="13"/>
  <c r="G1214" i="13"/>
  <c r="H1213" i="13"/>
  <c r="G1213" i="13"/>
  <c r="H1212" i="13"/>
  <c r="G1212" i="13"/>
  <c r="H1211" i="13"/>
  <c r="G1211" i="13"/>
  <c r="H1210" i="13"/>
  <c r="G1210" i="13"/>
  <c r="H1209" i="13"/>
  <c r="G1209" i="13"/>
  <c r="H1208" i="13"/>
  <c r="G1208" i="13"/>
  <c r="H1207" i="13"/>
  <c r="G1207" i="13"/>
  <c r="H1206" i="13"/>
  <c r="G1206" i="13"/>
  <c r="H1204" i="13"/>
  <c r="G1204" i="13"/>
  <c r="H1202" i="13"/>
  <c r="G1202" i="13"/>
  <c r="H1201" i="13"/>
  <c r="G1201" i="13"/>
  <c r="H1200" i="13"/>
  <c r="G1200" i="13"/>
  <c r="H1199" i="13"/>
  <c r="G1199" i="13"/>
  <c r="H1198" i="13"/>
  <c r="G1198" i="13"/>
  <c r="H1197" i="13"/>
  <c r="G1197" i="13"/>
  <c r="H1196" i="13"/>
  <c r="G1196" i="13"/>
  <c r="H1195" i="13"/>
  <c r="G1195" i="13"/>
  <c r="H1194" i="13"/>
  <c r="G1194" i="13"/>
  <c r="H1193" i="13"/>
  <c r="G1193" i="13"/>
  <c r="H1192" i="13"/>
  <c r="G1192" i="13"/>
  <c r="H1191" i="13"/>
  <c r="G1191" i="13"/>
  <c r="H1190" i="13"/>
  <c r="G1190" i="13"/>
  <c r="H1189" i="13"/>
  <c r="G1189" i="13"/>
  <c r="H1187" i="13"/>
  <c r="G1187" i="13"/>
  <c r="H1186" i="13"/>
  <c r="G1186" i="13"/>
  <c r="H1185" i="13"/>
  <c r="G1185" i="13"/>
  <c r="H1184" i="13"/>
  <c r="G1184" i="13"/>
  <c r="H1183" i="13"/>
  <c r="G1183" i="13"/>
  <c r="H1182" i="13"/>
  <c r="G1182" i="13"/>
  <c r="H1181" i="13"/>
  <c r="G1181" i="13"/>
  <c r="H1180" i="13"/>
  <c r="G1180" i="13"/>
  <c r="H1179" i="13"/>
  <c r="G1179" i="13"/>
  <c r="H1178" i="13"/>
  <c r="G1178" i="13"/>
  <c r="H1177" i="13"/>
  <c r="G1177" i="13"/>
  <c r="H1176" i="13"/>
  <c r="G1176" i="13"/>
  <c r="H1175" i="13"/>
  <c r="G1175" i="13"/>
  <c r="H1174" i="13"/>
  <c r="G1174" i="13"/>
  <c r="H1173" i="13"/>
  <c r="G1173" i="13"/>
  <c r="H1172" i="13"/>
  <c r="G1172" i="13"/>
  <c r="H1171" i="13"/>
  <c r="G1171" i="13"/>
  <c r="H1170" i="13"/>
  <c r="G1170" i="13"/>
  <c r="H1169" i="13"/>
  <c r="G1169" i="13"/>
  <c r="H1168" i="13"/>
  <c r="G1168" i="13"/>
  <c r="H1167" i="13"/>
  <c r="G1167" i="13"/>
  <c r="H1166" i="13"/>
  <c r="G1166" i="13"/>
  <c r="H1165" i="13"/>
  <c r="G1165" i="13"/>
  <c r="H1164" i="13"/>
  <c r="G1164" i="13"/>
  <c r="H1163" i="13"/>
  <c r="G1163" i="13"/>
  <c r="H1161" i="13"/>
  <c r="G1161" i="13"/>
  <c r="H1160" i="13"/>
  <c r="G1160" i="13"/>
  <c r="H1158" i="13"/>
  <c r="G1158" i="13"/>
  <c r="H1155" i="13"/>
  <c r="G1155" i="13"/>
  <c r="H1154" i="13"/>
  <c r="G1154" i="13"/>
  <c r="H1153" i="13"/>
  <c r="G1153" i="13"/>
  <c r="H1151" i="13"/>
  <c r="G1151" i="13"/>
  <c r="H1150" i="13"/>
  <c r="G1150" i="13"/>
  <c r="H1148" i="13"/>
  <c r="G1148" i="13"/>
  <c r="H1146" i="13"/>
  <c r="G1146" i="13"/>
  <c r="H1145" i="13"/>
  <c r="G1145" i="13"/>
  <c r="H1144" i="13"/>
  <c r="G1144" i="13"/>
  <c r="H1143" i="13"/>
  <c r="G1143" i="13"/>
  <c r="H1142" i="13"/>
  <c r="G1142" i="13"/>
  <c r="H1141" i="13"/>
  <c r="G1141" i="13"/>
  <c r="H1140" i="13"/>
  <c r="G1140" i="13"/>
  <c r="H1139" i="13"/>
  <c r="G1139" i="13"/>
  <c r="H1137" i="13"/>
  <c r="G1137" i="13"/>
  <c r="H1136" i="13"/>
  <c r="G1136" i="13"/>
  <c r="H1135" i="13"/>
  <c r="G1135" i="13"/>
  <c r="H1134" i="13"/>
  <c r="G1134" i="13"/>
  <c r="H1133" i="13"/>
  <c r="G1133" i="13"/>
  <c r="H1132" i="13"/>
  <c r="G1132" i="13"/>
  <c r="H1130" i="13"/>
  <c r="G1130" i="13"/>
  <c r="H1129" i="13"/>
  <c r="G1129" i="13"/>
  <c r="H1128" i="13"/>
  <c r="G1128" i="13"/>
  <c r="H1127" i="13"/>
  <c r="G1127" i="13"/>
  <c r="H1126" i="13"/>
  <c r="G1126" i="13"/>
  <c r="H1125" i="13"/>
  <c r="G1125" i="13"/>
  <c r="H1124" i="13"/>
  <c r="G1124" i="13"/>
  <c r="H1123" i="13"/>
  <c r="G1123" i="13"/>
  <c r="H1122" i="13"/>
  <c r="G1122" i="13"/>
  <c r="H1120" i="13"/>
  <c r="G1120" i="13"/>
  <c r="H1119" i="13"/>
  <c r="G1119" i="13"/>
  <c r="H1117" i="13"/>
  <c r="G1117" i="13"/>
  <c r="H1116" i="13"/>
  <c r="G1116" i="13"/>
  <c r="H1115" i="13"/>
  <c r="G1115" i="13"/>
  <c r="H1114" i="13"/>
  <c r="G1114" i="13"/>
  <c r="H1113" i="13"/>
  <c r="G1113" i="13"/>
  <c r="H1112" i="13"/>
  <c r="G1112" i="13"/>
  <c r="H1111" i="13"/>
  <c r="G1111" i="13"/>
  <c r="H1110" i="13"/>
  <c r="G1110" i="13"/>
  <c r="H1109" i="13"/>
  <c r="G1109" i="13"/>
  <c r="H1108" i="13"/>
  <c r="G1108" i="13"/>
  <c r="H1107" i="13"/>
  <c r="G1107" i="13"/>
  <c r="H1106" i="13"/>
  <c r="G1106" i="13"/>
  <c r="H1105" i="13"/>
  <c r="G1105" i="13"/>
  <c r="H1104" i="13"/>
  <c r="G1104" i="13"/>
  <c r="H1103" i="13"/>
  <c r="G1103" i="13"/>
  <c r="H1102" i="13"/>
  <c r="G1102" i="13"/>
  <c r="H1101" i="13"/>
  <c r="G1101" i="13"/>
  <c r="H1100" i="13"/>
  <c r="G1100" i="13"/>
  <c r="H1099" i="13"/>
  <c r="G1099" i="13"/>
  <c r="H1098" i="13"/>
  <c r="G1098" i="13"/>
  <c r="H1097" i="13"/>
  <c r="G1097" i="13"/>
  <c r="H1096" i="13"/>
  <c r="G1096" i="13"/>
  <c r="H1095" i="13"/>
  <c r="G1095" i="13"/>
  <c r="H1094" i="13"/>
  <c r="G1094" i="13"/>
  <c r="H1093" i="13"/>
  <c r="G1093" i="13"/>
  <c r="H1092" i="13"/>
  <c r="G1092" i="13"/>
  <c r="H1091" i="13"/>
  <c r="G1091" i="13"/>
  <c r="H1090" i="13"/>
  <c r="G1090" i="13"/>
  <c r="H1089" i="13"/>
  <c r="G1089" i="13"/>
  <c r="H1088" i="13"/>
  <c r="G1088" i="13"/>
  <c r="H1086" i="13"/>
  <c r="G1086" i="13"/>
  <c r="H1085" i="13"/>
  <c r="G1085" i="13"/>
  <c r="H1084" i="13"/>
  <c r="G1084" i="13"/>
  <c r="H1083" i="13"/>
  <c r="G1083" i="13"/>
  <c r="H1082" i="13"/>
  <c r="G1082" i="13"/>
  <c r="H1081" i="13"/>
  <c r="G1081" i="13"/>
  <c r="H1080" i="13"/>
  <c r="G1080" i="13"/>
  <c r="H1079" i="13"/>
  <c r="G1079" i="13"/>
  <c r="H1078" i="13"/>
  <c r="G1078" i="13"/>
  <c r="H1077" i="13"/>
  <c r="G1077" i="13"/>
  <c r="H1076" i="13"/>
  <c r="G1076" i="13"/>
  <c r="H1075" i="13"/>
  <c r="G1075" i="13"/>
  <c r="H1074" i="13"/>
  <c r="G1074" i="13"/>
  <c r="H1073" i="13"/>
  <c r="G1073" i="13"/>
  <c r="H1071" i="13"/>
  <c r="G1071" i="13"/>
  <c r="H1070" i="13"/>
  <c r="G1070" i="13"/>
  <c r="H1069" i="13"/>
  <c r="G1069" i="13"/>
  <c r="H1068" i="13"/>
  <c r="G1068" i="13"/>
  <c r="H1067" i="13"/>
  <c r="G1067" i="13"/>
  <c r="H1066" i="13"/>
  <c r="G1066" i="13"/>
  <c r="H1065" i="13"/>
  <c r="G1065" i="13"/>
  <c r="H1064" i="13"/>
  <c r="G1064" i="13"/>
  <c r="H1062" i="13"/>
  <c r="G1062" i="13"/>
  <c r="H1061" i="13"/>
  <c r="G1061" i="13"/>
  <c r="H1060" i="13"/>
  <c r="G1060" i="13"/>
  <c r="H1059" i="13"/>
  <c r="G1059" i="13"/>
  <c r="H1058" i="13"/>
  <c r="G1058" i="13"/>
  <c r="H1056" i="13"/>
  <c r="G1056" i="13"/>
  <c r="H1055" i="13"/>
  <c r="G1055" i="13"/>
  <c r="H1054" i="13"/>
  <c r="G1054" i="13"/>
  <c r="H1053" i="13"/>
  <c r="G1053" i="13"/>
  <c r="H1052" i="13"/>
  <c r="G1052" i="13"/>
  <c r="H1051" i="13"/>
  <c r="G1051" i="13"/>
  <c r="H1050" i="13"/>
  <c r="G1050" i="13"/>
  <c r="H1049" i="13"/>
  <c r="G1049" i="13"/>
  <c r="H1048" i="13"/>
  <c r="G1048" i="13"/>
  <c r="H1047" i="13"/>
  <c r="G1047" i="13"/>
  <c r="H1045" i="13"/>
  <c r="G1045" i="13"/>
  <c r="H1044" i="13"/>
  <c r="G1044" i="13"/>
  <c r="H1042" i="13"/>
  <c r="G1042" i="13"/>
  <c r="H1040" i="13"/>
  <c r="G1040" i="13"/>
  <c r="H1039" i="13"/>
  <c r="G1039" i="13"/>
  <c r="H1038" i="13"/>
  <c r="G1038" i="13"/>
  <c r="H1037" i="13"/>
  <c r="G1037" i="13"/>
  <c r="H1036" i="13"/>
  <c r="G1036" i="13"/>
  <c r="H1035" i="13"/>
  <c r="G1035" i="13"/>
  <c r="H1034" i="13"/>
  <c r="G1034" i="13"/>
  <c r="H1033" i="13"/>
  <c r="G1033" i="13"/>
  <c r="H1032" i="13"/>
  <c r="G1032" i="13"/>
  <c r="H1031" i="13"/>
  <c r="G1031" i="13"/>
  <c r="H1030" i="13"/>
  <c r="G1030" i="13"/>
  <c r="H1029" i="13"/>
  <c r="G1029" i="13"/>
  <c r="H1028" i="13"/>
  <c r="G1028" i="13"/>
  <c r="H1027" i="13"/>
  <c r="G1027" i="13"/>
  <c r="H1026" i="13"/>
  <c r="G1026" i="13"/>
  <c r="H1025" i="13"/>
  <c r="G1025" i="13"/>
  <c r="H1023" i="13"/>
  <c r="G1023" i="13"/>
  <c r="H1022" i="13"/>
  <c r="G1022" i="13"/>
  <c r="H1021" i="13"/>
  <c r="G1021" i="13"/>
  <c r="H1020" i="13"/>
  <c r="G1020" i="13"/>
  <c r="H1019" i="13"/>
  <c r="G1019" i="13"/>
  <c r="H1018" i="13"/>
  <c r="G1018" i="13"/>
  <c r="H1017" i="13"/>
  <c r="G1017" i="13"/>
  <c r="H1015" i="13"/>
  <c r="G1015" i="13"/>
  <c r="H1014" i="13"/>
  <c r="G1014" i="13"/>
  <c r="H1013" i="13"/>
  <c r="G1013" i="13"/>
  <c r="H1012" i="13"/>
  <c r="G1012" i="13"/>
  <c r="H1011" i="13"/>
  <c r="G1011" i="13"/>
  <c r="H1010" i="13"/>
  <c r="G1010" i="13"/>
  <c r="H1009" i="13"/>
  <c r="G1009" i="13"/>
  <c r="H1008" i="13"/>
  <c r="G1008" i="13"/>
  <c r="H1006" i="13"/>
  <c r="G1006" i="13"/>
  <c r="H1005" i="13"/>
  <c r="G1005" i="13"/>
  <c r="H1004" i="13"/>
  <c r="G1004" i="13"/>
  <c r="H1003" i="13"/>
  <c r="G1003" i="13"/>
  <c r="H1002" i="13"/>
  <c r="G1002" i="13"/>
  <c r="H1001" i="13"/>
  <c r="G1001" i="13"/>
  <c r="H1000" i="13"/>
  <c r="G1000" i="13"/>
  <c r="H999" i="13"/>
  <c r="G999" i="13"/>
  <c r="H998" i="13"/>
  <c r="G998" i="13"/>
  <c r="H997" i="13"/>
  <c r="G997" i="13"/>
  <c r="H996" i="13"/>
  <c r="G996" i="13"/>
  <c r="H995" i="13"/>
  <c r="G995" i="13"/>
  <c r="H994" i="13"/>
  <c r="G994" i="13"/>
  <c r="H993" i="13"/>
  <c r="G993" i="13"/>
  <c r="H992" i="13"/>
  <c r="G992" i="13"/>
  <c r="H991" i="13"/>
  <c r="G991" i="13"/>
  <c r="H990" i="13"/>
  <c r="G990" i="13"/>
  <c r="H989" i="13"/>
  <c r="G989" i="13"/>
  <c r="H988" i="13"/>
  <c r="G988" i="13"/>
  <c r="H987" i="13"/>
  <c r="G987" i="13"/>
  <c r="H986" i="13"/>
  <c r="G986" i="13"/>
  <c r="H985" i="13"/>
  <c r="G985" i="13"/>
  <c r="H984" i="13"/>
  <c r="G984" i="13"/>
  <c r="H983" i="13"/>
  <c r="G983" i="13"/>
  <c r="H982" i="13"/>
  <c r="G982" i="13"/>
  <c r="H981" i="13"/>
  <c r="G981" i="13"/>
  <c r="H979" i="13"/>
  <c r="G979" i="13"/>
  <c r="H978" i="13"/>
  <c r="G978" i="13"/>
  <c r="H976" i="13"/>
  <c r="G976" i="13"/>
  <c r="H975" i="13"/>
  <c r="G975" i="13"/>
  <c r="H973" i="13"/>
  <c r="G973" i="13"/>
  <c r="H972" i="13"/>
  <c r="G972" i="13"/>
  <c r="H971" i="13"/>
  <c r="G971" i="13"/>
  <c r="H970" i="13"/>
  <c r="G970" i="13"/>
  <c r="H969" i="13"/>
  <c r="G969" i="13"/>
  <c r="H968" i="13"/>
  <c r="G968" i="13"/>
  <c r="H967" i="13"/>
  <c r="G967" i="13"/>
  <c r="H966" i="13"/>
  <c r="G966" i="13"/>
  <c r="H964" i="13"/>
  <c r="G964" i="13"/>
  <c r="H963" i="13"/>
  <c r="G963" i="13"/>
  <c r="H962" i="13"/>
  <c r="G962" i="13"/>
  <c r="H961" i="13"/>
  <c r="G961" i="13"/>
  <c r="H960" i="13"/>
  <c r="G960" i="13"/>
  <c r="H959" i="13"/>
  <c r="G959" i="13"/>
  <c r="H958" i="13"/>
  <c r="G958" i="13"/>
  <c r="H957" i="13"/>
  <c r="G957" i="13"/>
  <c r="H956" i="13"/>
  <c r="G956" i="13"/>
  <c r="H955" i="13"/>
  <c r="G955" i="13"/>
  <c r="H954" i="13"/>
  <c r="G954" i="13"/>
  <c r="H953" i="13"/>
  <c r="G953" i="13"/>
  <c r="H952" i="13"/>
  <c r="G952" i="13"/>
  <c r="H951" i="13"/>
  <c r="G951" i="13"/>
  <c r="H950" i="13"/>
  <c r="G950" i="13"/>
  <c r="H949" i="13"/>
  <c r="G949" i="13"/>
  <c r="H948" i="13"/>
  <c r="G948" i="13"/>
  <c r="H947" i="13"/>
  <c r="G947" i="13"/>
  <c r="H945" i="13"/>
  <c r="G945" i="13"/>
  <c r="H944" i="13"/>
  <c r="G944" i="13"/>
  <c r="H943" i="13"/>
  <c r="G943" i="13"/>
  <c r="H942" i="13"/>
  <c r="G942" i="13"/>
  <c r="H941" i="13"/>
  <c r="G941" i="13"/>
  <c r="H940" i="13"/>
  <c r="G940" i="13"/>
  <c r="H939" i="13"/>
  <c r="G939" i="13"/>
  <c r="H938" i="13"/>
  <c r="G938" i="13"/>
  <c r="H937" i="13"/>
  <c r="G937" i="13"/>
  <c r="H936" i="13"/>
  <c r="G936" i="13"/>
  <c r="H935" i="13"/>
  <c r="G935" i="13"/>
  <c r="H934" i="13"/>
  <c r="G934" i="13"/>
  <c r="H933" i="13"/>
  <c r="G933" i="13"/>
  <c r="H931" i="13"/>
  <c r="G931" i="13"/>
  <c r="H930" i="13"/>
  <c r="G930" i="13"/>
  <c r="H929" i="13"/>
  <c r="G929" i="13"/>
  <c r="H928" i="13"/>
  <c r="G928" i="13"/>
  <c r="H927" i="13"/>
  <c r="G927" i="13"/>
  <c r="H926" i="13"/>
  <c r="G926" i="13"/>
  <c r="H925" i="13"/>
  <c r="G925" i="13"/>
  <c r="H924" i="13"/>
  <c r="G924" i="13"/>
  <c r="H923" i="13"/>
  <c r="G923" i="13"/>
  <c r="H922" i="13"/>
  <c r="G922" i="13"/>
  <c r="H921" i="13"/>
  <c r="G921" i="13"/>
  <c r="H920" i="13"/>
  <c r="G920" i="13"/>
  <c r="H919" i="13"/>
  <c r="G919" i="13"/>
  <c r="H918" i="13"/>
  <c r="G918" i="13"/>
  <c r="H917" i="13"/>
  <c r="G917" i="13"/>
  <c r="H916" i="13"/>
  <c r="G916" i="13"/>
  <c r="H915" i="13"/>
  <c r="G915" i="13"/>
  <c r="H914" i="13"/>
  <c r="G914" i="13"/>
  <c r="H913" i="13"/>
  <c r="G913" i="13"/>
  <c r="H912" i="13"/>
  <c r="G912" i="13"/>
  <c r="H911" i="13"/>
  <c r="G911" i="13"/>
  <c r="H910" i="13"/>
  <c r="G910" i="13"/>
  <c r="H909" i="13"/>
  <c r="G909" i="13"/>
  <c r="H908" i="13"/>
  <c r="G908" i="13"/>
  <c r="H907" i="13"/>
  <c r="G907" i="13"/>
  <c r="H905" i="13"/>
  <c r="G905" i="13"/>
  <c r="H903" i="13"/>
  <c r="G903" i="13"/>
  <c r="H902" i="13"/>
  <c r="G902" i="13"/>
  <c r="H901" i="13"/>
  <c r="G901" i="13"/>
  <c r="H900" i="13"/>
  <c r="G900" i="13"/>
  <c r="H899" i="13"/>
  <c r="G899" i="13"/>
  <c r="H898" i="13"/>
  <c r="G898" i="13"/>
  <c r="H897" i="13"/>
  <c r="G897" i="13"/>
  <c r="H896" i="13"/>
  <c r="G896" i="13"/>
  <c r="H895" i="13"/>
  <c r="G895" i="13"/>
  <c r="H894" i="13"/>
  <c r="G894" i="13"/>
  <c r="H893" i="13"/>
  <c r="G893" i="13"/>
  <c r="H892" i="13"/>
  <c r="G892" i="13"/>
  <c r="H891" i="13"/>
  <c r="G891" i="13"/>
  <c r="H890" i="13"/>
  <c r="G890" i="13"/>
  <c r="H888" i="13"/>
  <c r="G888" i="13"/>
  <c r="H887" i="13"/>
  <c r="G887" i="13"/>
  <c r="H886" i="13"/>
  <c r="G886" i="13"/>
  <c r="H885" i="13"/>
  <c r="G885" i="13"/>
  <c r="H884" i="13"/>
  <c r="G884" i="13"/>
  <c r="H883" i="13"/>
  <c r="G883" i="13"/>
  <c r="H882" i="13"/>
  <c r="G882" i="13"/>
  <c r="H881" i="13"/>
  <c r="G881" i="13"/>
  <c r="H880" i="13"/>
  <c r="G880" i="13"/>
  <c r="H879" i="13"/>
  <c r="G879" i="13"/>
  <c r="H878" i="13"/>
  <c r="G878" i="13"/>
  <c r="H877" i="13"/>
  <c r="G877" i="13"/>
  <c r="H876" i="13"/>
  <c r="G876" i="13"/>
  <c r="H875" i="13"/>
  <c r="G875" i="13"/>
  <c r="H874" i="13"/>
  <c r="G874" i="13"/>
  <c r="H873" i="13"/>
  <c r="G873" i="13"/>
  <c r="H872" i="13"/>
  <c r="G872" i="13"/>
  <c r="H871" i="13"/>
  <c r="G871" i="13"/>
  <c r="H870" i="13"/>
  <c r="G870" i="13"/>
  <c r="H869" i="13"/>
  <c r="G869" i="13"/>
  <c r="H868" i="13"/>
  <c r="G868" i="13"/>
  <c r="H867" i="13"/>
  <c r="G867" i="13"/>
  <c r="H866" i="13"/>
  <c r="G866" i="13"/>
  <c r="H865" i="13"/>
  <c r="G865" i="13"/>
  <c r="H864" i="13"/>
  <c r="G864" i="13"/>
  <c r="H862" i="13"/>
  <c r="G862" i="13"/>
  <c r="H861" i="13"/>
  <c r="G861" i="13"/>
  <c r="H859" i="13"/>
  <c r="G859" i="13"/>
  <c r="H856" i="13"/>
  <c r="G856" i="13"/>
  <c r="H855" i="13"/>
  <c r="G855" i="13"/>
  <c r="H854" i="13"/>
  <c r="G854" i="13"/>
  <c r="H852" i="13"/>
  <c r="G852" i="13"/>
  <c r="H851" i="13"/>
  <c r="G851" i="13"/>
  <c r="H849" i="13"/>
  <c r="G849" i="13"/>
  <c r="H847" i="13"/>
  <c r="G847" i="13"/>
  <c r="H846" i="13"/>
  <c r="G846" i="13"/>
  <c r="H845" i="13"/>
  <c r="G845" i="13"/>
  <c r="H844" i="13"/>
  <c r="G844" i="13"/>
  <c r="H843" i="13"/>
  <c r="G843" i="13"/>
  <c r="H842" i="13"/>
  <c r="G842" i="13"/>
  <c r="H841" i="13"/>
  <c r="G841" i="13"/>
  <c r="H840" i="13"/>
  <c r="G840" i="13"/>
  <c r="H838" i="13"/>
  <c r="G838" i="13"/>
  <c r="H837" i="13"/>
  <c r="G837" i="13"/>
  <c r="H836" i="13"/>
  <c r="G836" i="13"/>
  <c r="H835" i="13"/>
  <c r="G835" i="13"/>
  <c r="H834" i="13"/>
  <c r="G834" i="13"/>
  <c r="H833" i="13"/>
  <c r="G833" i="13"/>
  <c r="H831" i="13"/>
  <c r="G831" i="13"/>
  <c r="H830" i="13"/>
  <c r="G830" i="13"/>
  <c r="H829" i="13"/>
  <c r="G829" i="13"/>
  <c r="H828" i="13"/>
  <c r="G828" i="13"/>
  <c r="H827" i="13"/>
  <c r="G827" i="13"/>
  <c r="H826" i="13"/>
  <c r="G826" i="13"/>
  <c r="H825" i="13"/>
  <c r="G825" i="13"/>
  <c r="H824" i="13"/>
  <c r="G824" i="13"/>
  <c r="H823" i="13"/>
  <c r="G823" i="13"/>
  <c r="H821" i="13"/>
  <c r="G821" i="13"/>
  <c r="H820" i="13"/>
  <c r="G820" i="13"/>
  <c r="H818" i="13"/>
  <c r="G818" i="13"/>
  <c r="H817" i="13"/>
  <c r="G817" i="13"/>
  <c r="H816" i="13"/>
  <c r="G816" i="13"/>
  <c r="H815" i="13"/>
  <c r="G815" i="13"/>
  <c r="H814" i="13"/>
  <c r="G814" i="13"/>
  <c r="H813" i="13"/>
  <c r="G813" i="13"/>
  <c r="H812" i="13"/>
  <c r="G812" i="13"/>
  <c r="H811" i="13"/>
  <c r="G811" i="13"/>
  <c r="H810" i="13"/>
  <c r="G810" i="13"/>
  <c r="H809" i="13"/>
  <c r="G809" i="13"/>
  <c r="H808" i="13"/>
  <c r="G808" i="13"/>
  <c r="H807" i="13"/>
  <c r="G807" i="13"/>
  <c r="H806" i="13"/>
  <c r="G806" i="13"/>
  <c r="H805" i="13"/>
  <c r="G805" i="13"/>
  <c r="H804" i="13"/>
  <c r="G804" i="13"/>
  <c r="H803" i="13"/>
  <c r="G803" i="13"/>
  <c r="H802" i="13"/>
  <c r="G802" i="13"/>
  <c r="H801" i="13"/>
  <c r="G801" i="13"/>
  <c r="H800" i="13"/>
  <c r="G800" i="13"/>
  <c r="H799" i="13"/>
  <c r="G799" i="13"/>
  <c r="H798" i="13"/>
  <c r="G798" i="13"/>
  <c r="H797" i="13"/>
  <c r="G797" i="13"/>
  <c r="H796" i="13"/>
  <c r="G796" i="13"/>
  <c r="H795" i="13"/>
  <c r="G795" i="13"/>
  <c r="H794" i="13"/>
  <c r="G794" i="13"/>
  <c r="H793" i="13"/>
  <c r="G793" i="13"/>
  <c r="H792" i="13"/>
  <c r="G792" i="13"/>
  <c r="H791" i="13"/>
  <c r="G791" i="13"/>
  <c r="H790" i="13"/>
  <c r="G790" i="13"/>
  <c r="H789" i="13"/>
  <c r="G789" i="13"/>
  <c r="H787" i="13"/>
  <c r="G787" i="13"/>
  <c r="H786" i="13"/>
  <c r="G786" i="13"/>
  <c r="H785" i="13"/>
  <c r="G785" i="13"/>
  <c r="H784" i="13"/>
  <c r="G784" i="13"/>
  <c r="H783" i="13"/>
  <c r="G783" i="13"/>
  <c r="H782" i="13"/>
  <c r="G782" i="13"/>
  <c r="H781" i="13"/>
  <c r="G781" i="13"/>
  <c r="H780" i="13"/>
  <c r="G780" i="13"/>
  <c r="H779" i="13"/>
  <c r="G779" i="13"/>
  <c r="H778" i="13"/>
  <c r="G778" i="13"/>
  <c r="H777" i="13"/>
  <c r="G777" i="13"/>
  <c r="H776" i="13"/>
  <c r="G776" i="13"/>
  <c r="H775" i="13"/>
  <c r="G775" i="13"/>
  <c r="H774" i="13"/>
  <c r="G774" i="13"/>
  <c r="H772" i="13"/>
  <c r="G772" i="13"/>
  <c r="H771" i="13"/>
  <c r="G771" i="13"/>
  <c r="H770" i="13"/>
  <c r="G770" i="13"/>
  <c r="H769" i="13"/>
  <c r="G769" i="13"/>
  <c r="H768" i="13"/>
  <c r="G768" i="13"/>
  <c r="H767" i="13"/>
  <c r="G767" i="13"/>
  <c r="H766" i="13"/>
  <c r="G766" i="13"/>
  <c r="H765" i="13"/>
  <c r="G765" i="13"/>
  <c r="H763" i="13"/>
  <c r="G763" i="13"/>
  <c r="H762" i="13"/>
  <c r="G762" i="13"/>
  <c r="H761" i="13"/>
  <c r="G761" i="13"/>
  <c r="H760" i="13"/>
  <c r="G760" i="13"/>
  <c r="H759" i="13"/>
  <c r="G759" i="13"/>
  <c r="H757" i="13"/>
  <c r="G757" i="13"/>
  <c r="H756" i="13"/>
  <c r="G756" i="13"/>
  <c r="H755" i="13"/>
  <c r="G755" i="13"/>
  <c r="H754" i="13"/>
  <c r="G754" i="13"/>
  <c r="H753" i="13"/>
  <c r="G753" i="13"/>
  <c r="H752" i="13"/>
  <c r="G752" i="13"/>
  <c r="H751" i="13"/>
  <c r="G751" i="13"/>
  <c r="H750" i="13"/>
  <c r="G750" i="13"/>
  <c r="H749" i="13"/>
  <c r="G749" i="13"/>
  <c r="H748" i="13"/>
  <c r="G748" i="13"/>
  <c r="H746" i="13"/>
  <c r="G746" i="13"/>
  <c r="H745" i="13"/>
  <c r="G745" i="13"/>
  <c r="H743" i="13"/>
  <c r="G743" i="13"/>
  <c r="H741" i="13"/>
  <c r="G741" i="13"/>
  <c r="H740" i="13"/>
  <c r="G740" i="13"/>
  <c r="H739" i="13"/>
  <c r="G739" i="13"/>
  <c r="H738" i="13"/>
  <c r="G738" i="13"/>
  <c r="H737" i="13"/>
  <c r="G737" i="13"/>
  <c r="H736" i="13"/>
  <c r="G736" i="13"/>
  <c r="H735" i="13"/>
  <c r="G735" i="13"/>
  <c r="H734" i="13"/>
  <c r="G734" i="13"/>
  <c r="H733" i="13"/>
  <c r="G733" i="13"/>
  <c r="H732" i="13"/>
  <c r="G732" i="13"/>
  <c r="H731" i="13"/>
  <c r="G731" i="13"/>
  <c r="H730" i="13"/>
  <c r="G730" i="13"/>
  <c r="H729" i="13"/>
  <c r="G729" i="13"/>
  <c r="H728" i="13"/>
  <c r="G728" i="13"/>
  <c r="H727" i="13"/>
  <c r="G727" i="13"/>
  <c r="H726" i="13"/>
  <c r="G726" i="13"/>
  <c r="H724" i="13"/>
  <c r="G724" i="13"/>
  <c r="H723" i="13"/>
  <c r="G723" i="13"/>
  <c r="H722" i="13"/>
  <c r="G722" i="13"/>
  <c r="H721" i="13"/>
  <c r="G721" i="13"/>
  <c r="H720" i="13"/>
  <c r="G720" i="13"/>
  <c r="H719" i="13"/>
  <c r="G719" i="13"/>
  <c r="H718" i="13"/>
  <c r="G718" i="13"/>
  <c r="H716" i="13"/>
  <c r="G716" i="13"/>
  <c r="H715" i="13"/>
  <c r="G715" i="13"/>
  <c r="H714" i="13"/>
  <c r="G714" i="13"/>
  <c r="H713" i="13"/>
  <c r="G713" i="13"/>
  <c r="H712" i="13"/>
  <c r="G712" i="13"/>
  <c r="H711" i="13"/>
  <c r="G711" i="13"/>
  <c r="H710" i="13"/>
  <c r="G710" i="13"/>
  <c r="H709" i="13"/>
  <c r="G709" i="13"/>
  <c r="H707" i="13"/>
  <c r="G707" i="13"/>
  <c r="H706" i="13"/>
  <c r="G706" i="13"/>
  <c r="H705" i="13"/>
  <c r="G705" i="13"/>
  <c r="H704" i="13"/>
  <c r="G704" i="13"/>
  <c r="H703" i="13"/>
  <c r="G703" i="13"/>
  <c r="H702" i="13"/>
  <c r="G702" i="13"/>
  <c r="H701" i="13"/>
  <c r="G701" i="13"/>
  <c r="H700" i="13"/>
  <c r="G700" i="13"/>
  <c r="H699" i="13"/>
  <c r="G699" i="13"/>
  <c r="H698" i="13"/>
  <c r="G698" i="13"/>
  <c r="H697" i="13"/>
  <c r="G697" i="13"/>
  <c r="H696" i="13"/>
  <c r="G696" i="13"/>
  <c r="H695" i="13"/>
  <c r="G695" i="13"/>
  <c r="H694" i="13"/>
  <c r="G694" i="13"/>
  <c r="H693" i="13"/>
  <c r="G693" i="13"/>
  <c r="H692" i="13"/>
  <c r="G692" i="13"/>
  <c r="H691" i="13"/>
  <c r="G691" i="13"/>
  <c r="H690" i="13"/>
  <c r="G690" i="13"/>
  <c r="H689" i="13"/>
  <c r="G689" i="13"/>
  <c r="H688" i="13"/>
  <c r="G688" i="13"/>
  <c r="H687" i="13"/>
  <c r="G687" i="13"/>
  <c r="H686" i="13"/>
  <c r="G686" i="13"/>
  <c r="H685" i="13"/>
  <c r="G685" i="13"/>
  <c r="H684" i="13"/>
  <c r="G684" i="13"/>
  <c r="H683" i="13"/>
  <c r="G683" i="13"/>
  <c r="H682" i="13"/>
  <c r="G682" i="13"/>
  <c r="H680" i="13"/>
  <c r="G680" i="13"/>
  <c r="H679" i="13"/>
  <c r="G679" i="13"/>
  <c r="H677" i="13"/>
  <c r="G677" i="13"/>
  <c r="H676" i="13"/>
  <c r="G676" i="13"/>
  <c r="H674" i="13"/>
  <c r="G674" i="13"/>
  <c r="H673" i="13"/>
  <c r="G673" i="13"/>
  <c r="H672" i="13"/>
  <c r="G672" i="13"/>
  <c r="H671" i="13"/>
  <c r="G671" i="13"/>
  <c r="H670" i="13"/>
  <c r="G670" i="13"/>
  <c r="H669" i="13"/>
  <c r="G669" i="13"/>
  <c r="H668" i="13"/>
  <c r="G668" i="13"/>
  <c r="H667" i="13"/>
  <c r="G667" i="13"/>
  <c r="H665" i="13"/>
  <c r="G665" i="13"/>
  <c r="H664" i="13"/>
  <c r="G664" i="13"/>
  <c r="H663" i="13"/>
  <c r="G663" i="13"/>
  <c r="H662" i="13"/>
  <c r="G662" i="13"/>
  <c r="H661" i="13"/>
  <c r="G661" i="13"/>
  <c r="H660" i="13"/>
  <c r="G660" i="13"/>
  <c r="H659" i="13"/>
  <c r="G659" i="13"/>
  <c r="H658" i="13"/>
  <c r="G658" i="13"/>
  <c r="H657" i="13"/>
  <c r="G657" i="13"/>
  <c r="H656" i="13"/>
  <c r="G656" i="13"/>
  <c r="H655" i="13"/>
  <c r="G655" i="13"/>
  <c r="H654" i="13"/>
  <c r="G654" i="13"/>
  <c r="H653" i="13"/>
  <c r="G653" i="13"/>
  <c r="H652" i="13"/>
  <c r="G652" i="13"/>
  <c r="H651" i="13"/>
  <c r="G651" i="13"/>
  <c r="H650" i="13"/>
  <c r="G650" i="13"/>
  <c r="H649" i="13"/>
  <c r="G649" i="13"/>
  <c r="H648" i="13"/>
  <c r="G648" i="13"/>
  <c r="H646" i="13"/>
  <c r="G646" i="13"/>
  <c r="H645" i="13"/>
  <c r="G645" i="13"/>
  <c r="H644" i="13"/>
  <c r="G644" i="13"/>
  <c r="H643" i="13"/>
  <c r="G643" i="13"/>
  <c r="H642" i="13"/>
  <c r="G642" i="13"/>
  <c r="H641" i="13"/>
  <c r="G641" i="13"/>
  <c r="H640" i="13"/>
  <c r="G640" i="13"/>
  <c r="H639" i="13"/>
  <c r="G639" i="13"/>
  <c r="H638" i="13"/>
  <c r="G638" i="13"/>
  <c r="H637" i="13"/>
  <c r="G637" i="13"/>
  <c r="H636" i="13"/>
  <c r="G636" i="13"/>
  <c r="H635" i="13"/>
  <c r="G635" i="13"/>
  <c r="H634" i="13"/>
  <c r="G634" i="13"/>
  <c r="H632" i="13"/>
  <c r="G632" i="13"/>
  <c r="H631" i="13"/>
  <c r="G631" i="13"/>
  <c r="H630" i="13"/>
  <c r="G630" i="13"/>
  <c r="H629" i="13"/>
  <c r="G629" i="13"/>
  <c r="H628" i="13"/>
  <c r="G628" i="13"/>
  <c r="H627" i="13"/>
  <c r="G627" i="13"/>
  <c r="H626" i="13"/>
  <c r="G626" i="13"/>
  <c r="H625" i="13"/>
  <c r="G625" i="13"/>
  <c r="H624" i="13"/>
  <c r="G624" i="13"/>
  <c r="H623" i="13"/>
  <c r="G623" i="13"/>
  <c r="H622" i="13"/>
  <c r="G622" i="13"/>
  <c r="H621" i="13"/>
  <c r="G621" i="13"/>
  <c r="H620" i="13"/>
  <c r="G620" i="13"/>
  <c r="H619" i="13"/>
  <c r="G619" i="13"/>
  <c r="H618" i="13"/>
  <c r="G618" i="13"/>
  <c r="H617" i="13"/>
  <c r="G617" i="13"/>
  <c r="H616" i="13"/>
  <c r="G616" i="13"/>
  <c r="H615" i="13"/>
  <c r="G615" i="13"/>
  <c r="H614" i="13"/>
  <c r="G614" i="13"/>
  <c r="H613" i="13"/>
  <c r="G613" i="13"/>
  <c r="H612" i="13"/>
  <c r="G612" i="13"/>
  <c r="H611" i="13"/>
  <c r="G611" i="13"/>
  <c r="H610" i="13"/>
  <c r="G610" i="13"/>
  <c r="H609" i="13"/>
  <c r="G609" i="13"/>
  <c r="H608" i="13"/>
  <c r="G608" i="13"/>
  <c r="H606" i="13"/>
  <c r="G606" i="13"/>
  <c r="H604" i="13"/>
  <c r="G604" i="13"/>
  <c r="H603" i="13"/>
  <c r="G603" i="13"/>
  <c r="H602" i="13"/>
  <c r="G602" i="13"/>
  <c r="H601" i="13"/>
  <c r="G601" i="13"/>
  <c r="H600" i="13"/>
  <c r="G600" i="13"/>
  <c r="H599" i="13"/>
  <c r="G599" i="13"/>
  <c r="H598" i="13"/>
  <c r="G598" i="13"/>
  <c r="H597" i="13"/>
  <c r="G597" i="13"/>
  <c r="H596" i="13"/>
  <c r="G596" i="13"/>
  <c r="H595" i="13"/>
  <c r="G595" i="13"/>
  <c r="H594" i="13"/>
  <c r="G594" i="13"/>
  <c r="H593" i="13"/>
  <c r="G593" i="13"/>
  <c r="H592" i="13"/>
  <c r="G592" i="13"/>
  <c r="H591" i="13"/>
  <c r="G591" i="13"/>
  <c r="H589" i="13"/>
  <c r="G589" i="13"/>
  <c r="H588" i="13"/>
  <c r="G588" i="13"/>
  <c r="H587" i="13"/>
  <c r="G587" i="13"/>
  <c r="H586" i="13"/>
  <c r="G586" i="13"/>
  <c r="H585" i="13"/>
  <c r="G585" i="13"/>
  <c r="H584" i="13"/>
  <c r="G584" i="13"/>
  <c r="H583" i="13"/>
  <c r="G583" i="13"/>
  <c r="H582" i="13"/>
  <c r="G582" i="13"/>
  <c r="H581" i="13"/>
  <c r="G581" i="13"/>
  <c r="H580" i="13"/>
  <c r="G580" i="13"/>
  <c r="H579" i="13"/>
  <c r="G579" i="13"/>
  <c r="H578" i="13"/>
  <c r="G578" i="13"/>
  <c r="H577" i="13"/>
  <c r="G577" i="13"/>
  <c r="H576" i="13"/>
  <c r="G576" i="13"/>
  <c r="H575" i="13"/>
  <c r="G575" i="13"/>
  <c r="H574" i="13"/>
  <c r="G574" i="13"/>
  <c r="H573" i="13"/>
  <c r="G573" i="13"/>
  <c r="H572" i="13"/>
  <c r="G572" i="13"/>
  <c r="H571" i="13"/>
  <c r="G571" i="13"/>
  <c r="H570" i="13"/>
  <c r="G570" i="13"/>
  <c r="H569" i="13"/>
  <c r="G569" i="13"/>
  <c r="H568" i="13"/>
  <c r="G568" i="13"/>
  <c r="H567" i="13"/>
  <c r="G567" i="13"/>
  <c r="H566" i="13"/>
  <c r="G566" i="13"/>
  <c r="H565" i="13"/>
  <c r="G565" i="13"/>
  <c r="H563" i="13"/>
  <c r="G563" i="13"/>
  <c r="H562" i="13"/>
  <c r="G562" i="13"/>
  <c r="H560" i="13"/>
  <c r="G560" i="13"/>
  <c r="H557" i="13"/>
  <c r="G557" i="13"/>
  <c r="H556" i="13"/>
  <c r="G556" i="13"/>
  <c r="H555" i="13"/>
  <c r="G555" i="13"/>
  <c r="H553" i="13"/>
  <c r="G553" i="13"/>
  <c r="H552" i="13"/>
  <c r="G552" i="13"/>
  <c r="H550" i="13"/>
  <c r="G550" i="13"/>
  <c r="H548" i="13"/>
  <c r="G548" i="13"/>
  <c r="H547" i="13"/>
  <c r="G547" i="13"/>
  <c r="H546" i="13"/>
  <c r="G546" i="13"/>
  <c r="H545" i="13"/>
  <c r="G545" i="13"/>
  <c r="H544" i="13"/>
  <c r="G544" i="13"/>
  <c r="H543" i="13"/>
  <c r="G543" i="13"/>
  <c r="H542" i="13"/>
  <c r="G542" i="13"/>
  <c r="H541" i="13"/>
  <c r="G541" i="13"/>
  <c r="H539" i="13"/>
  <c r="G539" i="13"/>
  <c r="H538" i="13"/>
  <c r="G538" i="13"/>
  <c r="H537" i="13"/>
  <c r="G537" i="13"/>
  <c r="H536" i="13"/>
  <c r="G536" i="13"/>
  <c r="H535" i="13"/>
  <c r="G535" i="13"/>
  <c r="H534" i="13"/>
  <c r="G534" i="13"/>
  <c r="H532" i="13"/>
  <c r="G532" i="13"/>
  <c r="H531" i="13"/>
  <c r="G531" i="13"/>
  <c r="H530" i="13"/>
  <c r="G530" i="13"/>
  <c r="H529" i="13"/>
  <c r="G529" i="13"/>
  <c r="H528" i="13"/>
  <c r="G528" i="13"/>
  <c r="H527" i="13"/>
  <c r="G527" i="13"/>
  <c r="H526" i="13"/>
  <c r="G526" i="13"/>
  <c r="H525" i="13"/>
  <c r="G525" i="13"/>
  <c r="H524" i="13"/>
  <c r="G524" i="13"/>
  <c r="H522" i="13"/>
  <c r="G522" i="13"/>
  <c r="H521" i="13"/>
  <c r="G521" i="13"/>
  <c r="H519" i="13"/>
  <c r="G519" i="13"/>
  <c r="H518" i="13"/>
  <c r="G518" i="13"/>
  <c r="H517" i="13"/>
  <c r="G517" i="13"/>
  <c r="H516" i="13"/>
  <c r="G516" i="13"/>
  <c r="H515" i="13"/>
  <c r="G515" i="13"/>
  <c r="H514" i="13"/>
  <c r="G514" i="13"/>
  <c r="H513" i="13"/>
  <c r="G513" i="13"/>
  <c r="H512" i="13"/>
  <c r="G512" i="13"/>
  <c r="H511" i="13"/>
  <c r="G511" i="13"/>
  <c r="H510" i="13"/>
  <c r="G510" i="13"/>
  <c r="H509" i="13"/>
  <c r="G509" i="13"/>
  <c r="H508" i="13"/>
  <c r="G508" i="13"/>
  <c r="H507" i="13"/>
  <c r="G507" i="13"/>
  <c r="H506" i="13"/>
  <c r="G506" i="13"/>
  <c r="H505" i="13"/>
  <c r="G505" i="13"/>
  <c r="H504" i="13"/>
  <c r="G504" i="13"/>
  <c r="H503" i="13"/>
  <c r="G503" i="13"/>
  <c r="H502" i="13"/>
  <c r="G502" i="13"/>
  <c r="H501" i="13"/>
  <c r="G501" i="13"/>
  <c r="H500" i="13"/>
  <c r="G500" i="13"/>
  <c r="H499" i="13"/>
  <c r="G499" i="13"/>
  <c r="H498" i="13"/>
  <c r="G498" i="13"/>
  <c r="H497" i="13"/>
  <c r="G497" i="13"/>
  <c r="H496" i="13"/>
  <c r="G496" i="13"/>
  <c r="H495" i="13"/>
  <c r="G495" i="13"/>
  <c r="H494" i="13"/>
  <c r="G494" i="13"/>
  <c r="H493" i="13"/>
  <c r="G493" i="13"/>
  <c r="H492" i="13"/>
  <c r="G492" i="13"/>
  <c r="H491" i="13"/>
  <c r="G491" i="13"/>
  <c r="H490" i="13"/>
  <c r="G490" i="13"/>
  <c r="H488" i="13"/>
  <c r="G488" i="13"/>
  <c r="H487" i="13"/>
  <c r="G487" i="13"/>
  <c r="H486" i="13"/>
  <c r="G486" i="13"/>
  <c r="H485" i="13"/>
  <c r="G485" i="13"/>
  <c r="H484" i="13"/>
  <c r="G484" i="13"/>
  <c r="H483" i="13"/>
  <c r="G483" i="13"/>
  <c r="H482" i="13"/>
  <c r="G482" i="13"/>
  <c r="H481" i="13"/>
  <c r="G481" i="13"/>
  <c r="H480" i="13"/>
  <c r="G480" i="13"/>
  <c r="H479" i="13"/>
  <c r="G479" i="13"/>
  <c r="H478" i="13"/>
  <c r="G478" i="13"/>
  <c r="H477" i="13"/>
  <c r="G477" i="13"/>
  <c r="H476" i="13"/>
  <c r="G476" i="13"/>
  <c r="H475" i="13"/>
  <c r="G475" i="13"/>
  <c r="H473" i="13"/>
  <c r="G473" i="13"/>
  <c r="H472" i="13"/>
  <c r="G472" i="13"/>
  <c r="H471" i="13"/>
  <c r="G471" i="13"/>
  <c r="H470" i="13"/>
  <c r="G470" i="13"/>
  <c r="H469" i="13"/>
  <c r="G469" i="13"/>
  <c r="H468" i="13"/>
  <c r="G468" i="13"/>
  <c r="H467" i="13"/>
  <c r="G467" i="13"/>
  <c r="H466" i="13"/>
  <c r="G466" i="13"/>
  <c r="H464" i="13"/>
  <c r="G464" i="13"/>
  <c r="H463" i="13"/>
  <c r="G463" i="13"/>
  <c r="H462" i="13"/>
  <c r="G462" i="13"/>
  <c r="H461" i="13"/>
  <c r="G461" i="13"/>
  <c r="H460" i="13"/>
  <c r="G460" i="13"/>
  <c r="H458" i="13"/>
  <c r="G458" i="13"/>
  <c r="H457" i="13"/>
  <c r="G457" i="13"/>
  <c r="H456" i="13"/>
  <c r="G456" i="13"/>
  <c r="H455" i="13"/>
  <c r="G455" i="13"/>
  <c r="H454" i="13"/>
  <c r="G454" i="13"/>
  <c r="H453" i="13"/>
  <c r="G453" i="13"/>
  <c r="H452" i="13"/>
  <c r="G452" i="13"/>
  <c r="H451" i="13"/>
  <c r="G451" i="13"/>
  <c r="H450" i="13"/>
  <c r="G450" i="13"/>
  <c r="H449" i="13"/>
  <c r="G449" i="13"/>
  <c r="H447" i="13"/>
  <c r="G447" i="13"/>
  <c r="H446" i="13"/>
  <c r="G446" i="13"/>
  <c r="H444" i="13"/>
  <c r="G444" i="13"/>
  <c r="H442" i="13"/>
  <c r="G442" i="13"/>
  <c r="H441" i="13"/>
  <c r="G441" i="13"/>
  <c r="H440" i="13"/>
  <c r="G440" i="13"/>
  <c r="H439" i="13"/>
  <c r="G439" i="13"/>
  <c r="H438" i="13"/>
  <c r="G438" i="13"/>
  <c r="H437" i="13"/>
  <c r="G437" i="13"/>
  <c r="H436" i="13"/>
  <c r="G436" i="13"/>
  <c r="H435" i="13"/>
  <c r="G435" i="13"/>
  <c r="H434" i="13"/>
  <c r="G434" i="13"/>
  <c r="H433" i="13"/>
  <c r="G433" i="13"/>
  <c r="H432" i="13"/>
  <c r="G432" i="13"/>
  <c r="H431" i="13"/>
  <c r="G431" i="13"/>
  <c r="H430" i="13"/>
  <c r="G430" i="13"/>
  <c r="H429" i="13"/>
  <c r="G429" i="13"/>
  <c r="H428" i="13"/>
  <c r="G428" i="13"/>
  <c r="H427" i="13"/>
  <c r="G427" i="13"/>
  <c r="H425" i="13"/>
  <c r="G425" i="13"/>
  <c r="H424" i="13"/>
  <c r="G424" i="13"/>
  <c r="H423" i="13"/>
  <c r="G423" i="13"/>
  <c r="H422" i="13"/>
  <c r="G422" i="13"/>
  <c r="H421" i="13"/>
  <c r="G421" i="13"/>
  <c r="H420" i="13"/>
  <c r="G420" i="13"/>
  <c r="H419" i="13"/>
  <c r="G419" i="13"/>
  <c r="H417" i="13"/>
  <c r="G417" i="13"/>
  <c r="H416" i="13"/>
  <c r="G416" i="13"/>
  <c r="H415" i="13"/>
  <c r="G415" i="13"/>
  <c r="H414" i="13"/>
  <c r="G414" i="13"/>
  <c r="H413" i="13"/>
  <c r="G413" i="13"/>
  <c r="H412" i="13"/>
  <c r="G412" i="13"/>
  <c r="H411" i="13"/>
  <c r="G411" i="13"/>
  <c r="H410" i="13"/>
  <c r="G410" i="13"/>
  <c r="H408" i="13"/>
  <c r="G408" i="13"/>
  <c r="H407" i="13"/>
  <c r="G407" i="13"/>
  <c r="H406" i="13"/>
  <c r="G406" i="13"/>
  <c r="H405" i="13"/>
  <c r="G405" i="13"/>
  <c r="H404" i="13"/>
  <c r="G404" i="13"/>
  <c r="H403" i="13"/>
  <c r="G403" i="13"/>
  <c r="H402" i="13"/>
  <c r="G402" i="13"/>
  <c r="H401" i="13"/>
  <c r="G401" i="13"/>
  <c r="H400" i="13"/>
  <c r="G400" i="13"/>
  <c r="H399" i="13"/>
  <c r="G399" i="13"/>
  <c r="H398" i="13"/>
  <c r="G398" i="13"/>
  <c r="H397" i="13"/>
  <c r="G397" i="13"/>
  <c r="H396" i="13"/>
  <c r="G396" i="13"/>
  <c r="H395" i="13"/>
  <c r="G395" i="13"/>
  <c r="H394" i="13"/>
  <c r="G394" i="13"/>
  <c r="H393" i="13"/>
  <c r="G393" i="13"/>
  <c r="H392" i="13"/>
  <c r="G392" i="13"/>
  <c r="H391" i="13"/>
  <c r="G391" i="13"/>
  <c r="H390" i="13"/>
  <c r="G390" i="13"/>
  <c r="H389" i="13"/>
  <c r="G389" i="13"/>
  <c r="H388" i="13"/>
  <c r="G388" i="13"/>
  <c r="H387" i="13"/>
  <c r="G387" i="13"/>
  <c r="H386" i="13"/>
  <c r="G386" i="13"/>
  <c r="H385" i="13"/>
  <c r="G385" i="13"/>
  <c r="H384" i="13"/>
  <c r="G384" i="13"/>
  <c r="H383" i="13"/>
  <c r="G383" i="13"/>
  <c r="H381" i="13"/>
  <c r="G381" i="13"/>
  <c r="H380" i="13"/>
  <c r="G380" i="13"/>
  <c r="H378" i="13"/>
  <c r="G378" i="13"/>
  <c r="H377" i="13"/>
  <c r="G377" i="13"/>
  <c r="H375" i="13"/>
  <c r="G375" i="13"/>
  <c r="H374" i="13"/>
  <c r="G374" i="13"/>
  <c r="H373" i="13"/>
  <c r="G373" i="13"/>
  <c r="H372" i="13"/>
  <c r="G372" i="13"/>
  <c r="H371" i="13"/>
  <c r="G371" i="13"/>
  <c r="H370" i="13"/>
  <c r="G370" i="13"/>
  <c r="H369" i="13"/>
  <c r="G369" i="13"/>
  <c r="H368" i="13"/>
  <c r="G368" i="13"/>
  <c r="H366" i="13"/>
  <c r="G366" i="13"/>
  <c r="H365" i="13"/>
  <c r="G365" i="13"/>
  <c r="H364" i="13"/>
  <c r="G364" i="13"/>
  <c r="H363" i="13"/>
  <c r="G363" i="13"/>
  <c r="H362" i="13"/>
  <c r="G362" i="13"/>
  <c r="H361" i="13"/>
  <c r="G361" i="13"/>
  <c r="H360" i="13"/>
  <c r="G360" i="13"/>
  <c r="H359" i="13"/>
  <c r="G359" i="13"/>
  <c r="H358" i="13"/>
  <c r="G358" i="13"/>
  <c r="H357" i="13"/>
  <c r="G357" i="13"/>
  <c r="H356" i="13"/>
  <c r="G356" i="13"/>
  <c r="H355" i="13"/>
  <c r="G355" i="13"/>
  <c r="H354" i="13"/>
  <c r="G354" i="13"/>
  <c r="H353" i="13"/>
  <c r="G353" i="13"/>
  <c r="H352" i="13"/>
  <c r="G352" i="13"/>
  <c r="H351" i="13"/>
  <c r="G351" i="13"/>
  <c r="H350" i="13"/>
  <c r="G350" i="13"/>
  <c r="H349" i="13"/>
  <c r="G349" i="13"/>
  <c r="H347" i="13"/>
  <c r="G347" i="13"/>
  <c r="H346" i="13"/>
  <c r="G346" i="13"/>
  <c r="H345" i="13"/>
  <c r="G345" i="13"/>
  <c r="H344" i="13"/>
  <c r="G344" i="13"/>
  <c r="H343" i="13"/>
  <c r="G343" i="13"/>
  <c r="H342" i="13"/>
  <c r="G342" i="13"/>
  <c r="H341" i="13"/>
  <c r="G341" i="13"/>
  <c r="H340" i="13"/>
  <c r="G340" i="13"/>
  <c r="H339" i="13"/>
  <c r="G339" i="13"/>
  <c r="H338" i="13"/>
  <c r="G338" i="13"/>
  <c r="H337" i="13"/>
  <c r="G337" i="13"/>
  <c r="H336" i="13"/>
  <c r="G336" i="13"/>
  <c r="H335" i="13"/>
  <c r="G335" i="13"/>
  <c r="H333" i="13"/>
  <c r="G333" i="13"/>
  <c r="H332" i="13"/>
  <c r="G332" i="13"/>
  <c r="H331" i="13"/>
  <c r="G331" i="13"/>
  <c r="H330" i="13"/>
  <c r="G330" i="13"/>
  <c r="H329" i="13"/>
  <c r="G329" i="13"/>
  <c r="H328" i="13"/>
  <c r="G328" i="13"/>
  <c r="H327" i="13"/>
  <c r="G327" i="13"/>
  <c r="H326" i="13"/>
  <c r="G326" i="13"/>
  <c r="H325" i="13"/>
  <c r="G325" i="13"/>
  <c r="H324" i="13"/>
  <c r="G324" i="13"/>
  <c r="H323" i="13"/>
  <c r="G323" i="13"/>
  <c r="H322" i="13"/>
  <c r="G322" i="13"/>
  <c r="H321" i="13"/>
  <c r="G321" i="13"/>
  <c r="H320" i="13"/>
  <c r="G320" i="13"/>
  <c r="H319" i="13"/>
  <c r="G319" i="13"/>
  <c r="H318" i="13"/>
  <c r="G318" i="13"/>
  <c r="H317" i="13"/>
  <c r="G317" i="13"/>
  <c r="H316" i="13"/>
  <c r="G316" i="13"/>
  <c r="H315" i="13"/>
  <c r="G315" i="13"/>
  <c r="H314" i="13"/>
  <c r="G314" i="13"/>
  <c r="H313" i="13"/>
  <c r="G313" i="13"/>
  <c r="H312" i="13"/>
  <c r="G312" i="13"/>
  <c r="H311" i="13"/>
  <c r="G311" i="13"/>
  <c r="H310" i="13"/>
  <c r="G310" i="13"/>
  <c r="H309" i="13"/>
  <c r="G309" i="13"/>
  <c r="H307" i="13"/>
  <c r="G307" i="13"/>
  <c r="H305" i="13"/>
  <c r="G305" i="13"/>
  <c r="H304" i="13"/>
  <c r="G304" i="13"/>
  <c r="H303" i="13"/>
  <c r="G303" i="13"/>
  <c r="H302" i="13"/>
  <c r="G302" i="13"/>
  <c r="H301" i="13"/>
  <c r="G301" i="13"/>
  <c r="H300" i="13"/>
  <c r="G300" i="13"/>
  <c r="H299" i="13"/>
  <c r="G299" i="13"/>
  <c r="H298" i="13"/>
  <c r="G298" i="13"/>
  <c r="H297" i="13"/>
  <c r="G297" i="13"/>
  <c r="H296" i="13"/>
  <c r="G296" i="13"/>
  <c r="H295" i="13"/>
  <c r="G295" i="13"/>
  <c r="H294" i="13"/>
  <c r="G294" i="13"/>
  <c r="H293" i="13"/>
  <c r="G293" i="13"/>
  <c r="H292" i="13"/>
  <c r="G292" i="13"/>
  <c r="H290" i="13"/>
  <c r="G290" i="13"/>
  <c r="H289" i="13"/>
  <c r="G289" i="13"/>
  <c r="H288" i="13"/>
  <c r="G288" i="13"/>
  <c r="H287" i="13"/>
  <c r="G287" i="13"/>
  <c r="H286" i="13"/>
  <c r="G286" i="13"/>
  <c r="H285" i="13"/>
  <c r="G285" i="13"/>
  <c r="H284" i="13"/>
  <c r="G284" i="13"/>
  <c r="H283" i="13"/>
  <c r="G283" i="13"/>
  <c r="H282" i="13"/>
  <c r="G282" i="13"/>
  <c r="H281" i="13"/>
  <c r="G281" i="13"/>
  <c r="H280" i="13"/>
  <c r="G280" i="13"/>
  <c r="H279" i="13"/>
  <c r="G279" i="13"/>
  <c r="H278" i="13"/>
  <c r="G278" i="13"/>
  <c r="H277" i="13"/>
  <c r="G277" i="13"/>
  <c r="H276" i="13"/>
  <c r="G276" i="13"/>
  <c r="H275" i="13"/>
  <c r="G275" i="13"/>
  <c r="H274" i="13"/>
  <c r="G274" i="13"/>
  <c r="H273" i="13"/>
  <c r="G273" i="13"/>
  <c r="H272" i="13"/>
  <c r="G272" i="13"/>
  <c r="H271" i="13"/>
  <c r="G271" i="13"/>
  <c r="H270" i="13"/>
  <c r="G270" i="13"/>
  <c r="H269" i="13"/>
  <c r="G269" i="13"/>
  <c r="H268" i="13"/>
  <c r="G268" i="13"/>
  <c r="H267" i="13"/>
  <c r="G267" i="13"/>
  <c r="H266" i="13"/>
  <c r="G266" i="13"/>
  <c r="H264" i="13"/>
  <c r="G264" i="13"/>
  <c r="H263" i="13"/>
  <c r="G263" i="13"/>
  <c r="H261" i="13"/>
  <c r="G261" i="13"/>
  <c r="H258" i="13"/>
  <c r="G258" i="13"/>
  <c r="H256" i="13"/>
  <c r="G256" i="13"/>
  <c r="H255" i="13"/>
  <c r="G255" i="13"/>
  <c r="H254" i="13"/>
  <c r="G254" i="13"/>
  <c r="H252" i="13"/>
  <c r="G252" i="13"/>
  <c r="H251" i="13"/>
  <c r="G251" i="13"/>
  <c r="H250" i="13"/>
  <c r="G250" i="13"/>
  <c r="H248" i="13"/>
  <c r="G248" i="13"/>
  <c r="H247" i="13"/>
  <c r="G247" i="13"/>
  <c r="H246" i="13"/>
  <c r="G246" i="13"/>
  <c r="H245" i="13"/>
  <c r="G245" i="13"/>
  <c r="H244" i="13"/>
  <c r="G244" i="13"/>
  <c r="H243" i="13"/>
  <c r="G243" i="13"/>
  <c r="H241" i="13"/>
  <c r="G241" i="13"/>
  <c r="H240" i="13"/>
  <c r="G240" i="13"/>
  <c r="H239" i="13"/>
  <c r="G239" i="13"/>
  <c r="H238" i="13"/>
  <c r="G238" i="13"/>
  <c r="H237" i="13"/>
  <c r="G237" i="13"/>
  <c r="H236" i="13"/>
  <c r="G236" i="13"/>
  <c r="H235" i="13"/>
  <c r="G235" i="13"/>
  <c r="H234" i="13"/>
  <c r="G234" i="13"/>
  <c r="H232" i="13"/>
  <c r="G232" i="13"/>
  <c r="H231" i="13"/>
  <c r="G231" i="13"/>
  <c r="H229" i="13"/>
  <c r="G229" i="13"/>
  <c r="H228" i="13"/>
  <c r="G228" i="13"/>
  <c r="H227" i="13"/>
  <c r="G227" i="13"/>
  <c r="H226" i="13"/>
  <c r="G226" i="13"/>
  <c r="H225" i="13"/>
  <c r="G225" i="13"/>
  <c r="H224" i="13"/>
  <c r="G224" i="13"/>
  <c r="H223" i="13"/>
  <c r="G223" i="13"/>
  <c r="H222" i="13"/>
  <c r="G222" i="13"/>
  <c r="H221" i="13"/>
  <c r="G221" i="13"/>
  <c r="H220" i="13"/>
  <c r="G220" i="13"/>
  <c r="H219" i="13"/>
  <c r="G219" i="13"/>
  <c r="H218" i="13"/>
  <c r="G218" i="13"/>
  <c r="H217" i="13"/>
  <c r="G217" i="13"/>
  <c r="H216" i="13"/>
  <c r="G216" i="13"/>
  <c r="H215" i="13"/>
  <c r="G215" i="13"/>
  <c r="H214" i="13"/>
  <c r="G214" i="13"/>
  <c r="H213" i="13"/>
  <c r="G213" i="13"/>
  <c r="H212" i="13"/>
  <c r="G212" i="13"/>
  <c r="H211" i="13"/>
  <c r="G211" i="13"/>
  <c r="H210" i="13"/>
  <c r="G210" i="13"/>
  <c r="H209" i="13"/>
  <c r="G209" i="13"/>
  <c r="H208" i="13"/>
  <c r="G208" i="13"/>
  <c r="H207" i="13"/>
  <c r="G207" i="13"/>
  <c r="H206" i="13"/>
  <c r="G206" i="13"/>
  <c r="H205" i="13"/>
  <c r="G205" i="13"/>
  <c r="H203" i="13"/>
  <c r="G203" i="13"/>
  <c r="H202" i="13"/>
  <c r="G202" i="13"/>
  <c r="H201" i="13"/>
  <c r="G201" i="13"/>
  <c r="H200" i="13"/>
  <c r="G200" i="13"/>
  <c r="H199" i="13"/>
  <c r="G199" i="13"/>
  <c r="H198" i="13"/>
  <c r="G198" i="13"/>
  <c r="H197" i="13"/>
  <c r="G197" i="13"/>
  <c r="H196" i="13"/>
  <c r="G196" i="13"/>
  <c r="H195" i="13"/>
  <c r="G195" i="13"/>
  <c r="H194" i="13"/>
  <c r="G194" i="13"/>
  <c r="H193" i="13"/>
  <c r="G193" i="13"/>
  <c r="H192" i="13"/>
  <c r="G192" i="13"/>
  <c r="H191" i="13"/>
  <c r="G191" i="13"/>
  <c r="H190" i="13"/>
  <c r="G190" i="13"/>
  <c r="H189" i="13"/>
  <c r="G189" i="13"/>
  <c r="H188" i="13"/>
  <c r="G188" i="13"/>
  <c r="H187" i="13"/>
  <c r="G187" i="13"/>
  <c r="H185" i="13"/>
  <c r="G185" i="13"/>
  <c r="H184" i="13"/>
  <c r="G184" i="13"/>
  <c r="H183" i="13"/>
  <c r="G183" i="13"/>
  <c r="H182" i="13"/>
  <c r="G182" i="13"/>
  <c r="H180" i="13"/>
  <c r="G180" i="13"/>
  <c r="H179" i="13"/>
  <c r="G179" i="13"/>
  <c r="H178" i="13"/>
  <c r="G178" i="13"/>
  <c r="H177" i="13"/>
  <c r="G177" i="13"/>
  <c r="H176" i="13"/>
  <c r="G176" i="13"/>
  <c r="H175" i="13"/>
  <c r="G175" i="13"/>
  <c r="H173" i="13"/>
  <c r="G173" i="13"/>
  <c r="H172" i="13"/>
  <c r="G172" i="13"/>
  <c r="H170" i="13"/>
  <c r="G170" i="13"/>
  <c r="H168" i="13"/>
  <c r="G168" i="13"/>
  <c r="H167" i="13"/>
  <c r="G167" i="13"/>
  <c r="H166" i="13"/>
  <c r="G166" i="13"/>
  <c r="H165" i="13"/>
  <c r="G165" i="13"/>
  <c r="H164" i="13"/>
  <c r="G164" i="13"/>
  <c r="H163" i="13"/>
  <c r="G163" i="13"/>
  <c r="H162" i="13"/>
  <c r="G162" i="13"/>
  <c r="H161" i="13"/>
  <c r="G161" i="13"/>
  <c r="H160" i="13"/>
  <c r="G160" i="13"/>
  <c r="H159" i="13"/>
  <c r="G159" i="13"/>
  <c r="H158" i="13"/>
  <c r="G158" i="13"/>
  <c r="H157" i="13"/>
  <c r="G157" i="13"/>
  <c r="H156" i="13"/>
  <c r="G156" i="13"/>
  <c r="H155" i="13"/>
  <c r="G155" i="13"/>
  <c r="H153" i="13"/>
  <c r="G153" i="13"/>
  <c r="H152" i="13"/>
  <c r="G152" i="13"/>
  <c r="H151" i="13"/>
  <c r="G151" i="13"/>
  <c r="H150" i="13"/>
  <c r="G150" i="13"/>
  <c r="H149" i="13"/>
  <c r="G149" i="13"/>
  <c r="H148" i="13"/>
  <c r="G148" i="13"/>
  <c r="H146" i="13"/>
  <c r="G146" i="13"/>
  <c r="H145" i="13"/>
  <c r="G145" i="13"/>
  <c r="H144" i="13"/>
  <c r="G144" i="13"/>
  <c r="H143" i="13"/>
  <c r="G143" i="13"/>
  <c r="H141" i="13"/>
  <c r="G141" i="13"/>
  <c r="H140" i="13"/>
  <c r="G140" i="13"/>
  <c r="H139" i="13"/>
  <c r="G139" i="13"/>
  <c r="H138" i="13"/>
  <c r="G138" i="13"/>
  <c r="H137" i="13"/>
  <c r="G137" i="13"/>
  <c r="H136" i="13"/>
  <c r="G136" i="13"/>
  <c r="H135" i="13"/>
  <c r="G135" i="13"/>
  <c r="H134" i="13"/>
  <c r="G134" i="13"/>
  <c r="H133" i="13"/>
  <c r="G133" i="13"/>
  <c r="H132" i="13"/>
  <c r="G132" i="13"/>
  <c r="H131" i="13"/>
  <c r="G131" i="13"/>
  <c r="H130" i="13"/>
  <c r="G130" i="13"/>
  <c r="H129" i="13"/>
  <c r="G129" i="13"/>
  <c r="H128" i="13"/>
  <c r="G128" i="13"/>
  <c r="H127" i="13"/>
  <c r="G127" i="13"/>
  <c r="H126" i="13"/>
  <c r="G126" i="13"/>
  <c r="H125" i="13"/>
  <c r="G125" i="13"/>
  <c r="H124" i="13"/>
  <c r="G124" i="13"/>
  <c r="H122" i="13"/>
  <c r="G122" i="13"/>
  <c r="H121" i="13"/>
  <c r="G121" i="13"/>
  <c r="H119" i="13"/>
  <c r="G119" i="13"/>
  <c r="H118" i="13"/>
  <c r="G118" i="13"/>
  <c r="H116" i="13"/>
  <c r="G116" i="13"/>
  <c r="H115" i="13"/>
  <c r="G115" i="13"/>
  <c r="H114" i="13"/>
  <c r="G114" i="13"/>
  <c r="H113" i="13"/>
  <c r="G113" i="13"/>
  <c r="H112" i="13"/>
  <c r="G112" i="13"/>
  <c r="H111" i="13"/>
  <c r="G111" i="13"/>
  <c r="H110" i="13"/>
  <c r="G110" i="13"/>
  <c r="H108" i="13"/>
  <c r="G108" i="13"/>
  <c r="H107" i="13"/>
  <c r="G107" i="13"/>
  <c r="H106" i="13"/>
  <c r="G106" i="13"/>
  <c r="H105" i="13"/>
  <c r="G105" i="13"/>
  <c r="H104" i="13"/>
  <c r="G104" i="13"/>
  <c r="H103" i="13"/>
  <c r="G103" i="13"/>
  <c r="H102" i="13"/>
  <c r="G102" i="13"/>
  <c r="H101" i="13"/>
  <c r="G101" i="13"/>
  <c r="H100" i="13"/>
  <c r="G100" i="13"/>
  <c r="H99" i="13"/>
  <c r="G99" i="13"/>
  <c r="H98" i="13"/>
  <c r="G98" i="13"/>
  <c r="H97" i="13"/>
  <c r="G97" i="13"/>
  <c r="H96" i="13"/>
  <c r="G96" i="13"/>
  <c r="H95" i="13"/>
  <c r="G95" i="13"/>
  <c r="H93" i="13"/>
  <c r="G93" i="13"/>
  <c r="H92" i="13"/>
  <c r="G92" i="13"/>
  <c r="H91" i="13"/>
  <c r="G91" i="13"/>
  <c r="H90" i="13"/>
  <c r="G90" i="13"/>
  <c r="H89" i="13"/>
  <c r="G89" i="13"/>
  <c r="H88" i="13"/>
  <c r="G88" i="13"/>
  <c r="H87" i="13"/>
  <c r="G87" i="13"/>
  <c r="H86" i="13"/>
  <c r="G86" i="13"/>
  <c r="H85" i="13"/>
  <c r="G85" i="13"/>
  <c r="H84" i="13"/>
  <c r="G84" i="13"/>
  <c r="H83" i="13"/>
  <c r="G83" i="13"/>
  <c r="H81" i="13"/>
  <c r="G81" i="13"/>
  <c r="H80" i="13"/>
  <c r="G80" i="13"/>
  <c r="H79" i="13"/>
  <c r="G79" i="13"/>
  <c r="H78" i="13"/>
  <c r="G78" i="13"/>
  <c r="H77" i="13"/>
  <c r="G77" i="13"/>
  <c r="H76" i="13"/>
  <c r="G76" i="13"/>
  <c r="H75" i="13"/>
  <c r="G75" i="13"/>
  <c r="H74" i="13"/>
  <c r="G74" i="13"/>
  <c r="H73" i="13"/>
  <c r="G73" i="13"/>
  <c r="H72" i="13"/>
  <c r="G72" i="13"/>
  <c r="H71" i="13"/>
  <c r="G71" i="13"/>
  <c r="H70" i="13"/>
  <c r="G70" i="13"/>
  <c r="H69" i="13"/>
  <c r="G69" i="13"/>
  <c r="H68" i="13"/>
  <c r="G68" i="13"/>
  <c r="H67" i="13"/>
  <c r="G67" i="13"/>
  <c r="H66" i="13"/>
  <c r="G66" i="13"/>
  <c r="H65" i="13"/>
  <c r="G65" i="13"/>
  <c r="H64" i="13"/>
  <c r="G64" i="13"/>
  <c r="H63" i="13"/>
  <c r="G63" i="13"/>
  <c r="H62" i="13"/>
  <c r="G62" i="13"/>
  <c r="H61" i="13"/>
  <c r="G61" i="13"/>
  <c r="H60" i="13"/>
  <c r="G60" i="13"/>
  <c r="H59" i="13"/>
  <c r="G59" i="13"/>
  <c r="H58" i="13"/>
  <c r="G58" i="13"/>
  <c r="H57" i="13"/>
  <c r="G57" i="13"/>
  <c r="H55" i="13"/>
  <c r="G55" i="13"/>
  <c r="H53" i="13"/>
  <c r="G53" i="13"/>
  <c r="H52" i="13"/>
  <c r="G52" i="13"/>
  <c r="H51" i="13"/>
  <c r="G51" i="13"/>
  <c r="H50" i="13"/>
  <c r="G50" i="13"/>
  <c r="H49" i="13"/>
  <c r="G49" i="13"/>
  <c r="H48" i="13"/>
  <c r="G48" i="13"/>
  <c r="H47" i="13"/>
  <c r="G47" i="13"/>
  <c r="H46" i="13"/>
  <c r="G46" i="13"/>
  <c r="H45" i="13"/>
  <c r="G45" i="13"/>
  <c r="H44" i="13"/>
  <c r="G44" i="13"/>
  <c r="H43" i="13"/>
  <c r="G43" i="13"/>
  <c r="H42" i="13"/>
  <c r="G42" i="13"/>
  <c r="H41" i="13"/>
  <c r="G41" i="13"/>
  <c r="H40" i="13"/>
  <c r="G40" i="13"/>
  <c r="G15" i="13"/>
  <c r="H15" i="13"/>
  <c r="G16" i="13"/>
  <c r="H16" i="13"/>
  <c r="G17" i="13"/>
  <c r="H17" i="13"/>
  <c r="G18" i="13"/>
  <c r="H18" i="13"/>
  <c r="G19" i="13"/>
  <c r="H19" i="13"/>
  <c r="G20" i="13"/>
  <c r="H20" i="13"/>
  <c r="G21" i="13"/>
  <c r="H21" i="13"/>
  <c r="G22" i="13"/>
  <c r="H22" i="13"/>
  <c r="G23" i="13"/>
  <c r="H23" i="13"/>
  <c r="G24" i="13"/>
  <c r="H24" i="13"/>
  <c r="G25" i="13"/>
  <c r="H25" i="13"/>
  <c r="G26" i="13"/>
  <c r="H26" i="13"/>
  <c r="G27" i="13"/>
  <c r="H27" i="13"/>
  <c r="G28" i="13"/>
  <c r="H28" i="13"/>
  <c r="G29" i="13"/>
  <c r="H29" i="13"/>
  <c r="G30" i="13"/>
  <c r="H30" i="13"/>
  <c r="G31" i="13"/>
  <c r="H31" i="13"/>
  <c r="G32" i="13"/>
  <c r="H32" i="13"/>
  <c r="G33" i="13"/>
  <c r="H33" i="13"/>
  <c r="G34" i="13"/>
  <c r="H34" i="13"/>
  <c r="G35" i="13"/>
  <c r="H35" i="13"/>
  <c r="G36" i="13"/>
  <c r="H36" i="13"/>
  <c r="G37" i="13"/>
  <c r="H37" i="13"/>
  <c r="G38" i="13"/>
  <c r="H38" i="13"/>
  <c r="H14" i="13"/>
  <c r="G14" i="13"/>
  <c r="H13" i="13"/>
  <c r="G13" i="13"/>
  <c r="H11" i="13"/>
  <c r="G11" i="13"/>
  <c r="H10" i="13"/>
  <c r="H9" i="13" s="1"/>
  <c r="F9" i="13" s="1"/>
  <c r="G10" i="13"/>
  <c r="G9" i="13" s="1"/>
  <c r="E9" i="13" s="1"/>
  <c r="H8" i="13"/>
  <c r="H7" i="13" s="1"/>
  <c r="G8" i="13"/>
  <c r="G7" i="13" s="1"/>
  <c r="C1455" i="13"/>
  <c r="C1156" i="13"/>
  <c r="C857" i="13"/>
  <c r="C558" i="13"/>
  <c r="C259" i="13"/>
  <c r="C6" i="13"/>
  <c r="B10" i="11"/>
  <c r="AL4" i="11"/>
  <c r="AI4" i="11"/>
  <c r="AJ4" i="11"/>
  <c r="AK4" i="11"/>
  <c r="E11" i="12"/>
  <c r="E12" i="12" s="1"/>
  <c r="F12" i="12" s="1"/>
  <c r="G12" i="12" s="1"/>
  <c r="H12" i="12" s="1"/>
  <c r="I12" i="12" s="1"/>
  <c r="J12" i="12" s="1"/>
  <c r="K12" i="12" s="1"/>
  <c r="L12" i="12" s="1"/>
  <c r="M12" i="12" s="1"/>
  <c r="N12" i="12" s="1"/>
  <c r="O12" i="12" s="1"/>
  <c r="P12" i="12" s="1"/>
  <c r="Q12" i="12" s="1"/>
  <c r="R12" i="12" s="1"/>
  <c r="S12" i="12" s="1"/>
  <c r="T12" i="12" s="1"/>
  <c r="U12" i="12" s="1"/>
  <c r="V12" i="12" s="1"/>
  <c r="W12" i="12" s="1"/>
  <c r="X12" i="12" s="1"/>
  <c r="Y12" i="12" s="1"/>
  <c r="Z12" i="12" s="1"/>
  <c r="AA12" i="12" s="1"/>
  <c r="AB12" i="12" s="1"/>
  <c r="AC12" i="12" s="1"/>
  <c r="AD12" i="12" s="1"/>
  <c r="AE12" i="12" s="1"/>
  <c r="AF12" i="12" s="1"/>
  <c r="AG12" i="12" s="1"/>
  <c r="AH12" i="12" s="1"/>
  <c r="AI12" i="12" s="1"/>
  <c r="AJ12" i="12" s="1"/>
  <c r="AK12" i="12" s="1"/>
  <c r="AL12" i="12" s="1"/>
  <c r="AM12" i="12" s="1"/>
  <c r="AN12" i="12" s="1"/>
  <c r="AO12" i="12" s="1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F11" i="12"/>
  <c r="AQ9" i="12"/>
  <c r="AR9" i="12" s="1"/>
  <c r="AQ8" i="12"/>
  <c r="AR8" i="12" s="1"/>
  <c r="AQ7" i="12"/>
  <c r="AR7" i="12" s="1"/>
  <c r="AQ6" i="12"/>
  <c r="AR6" i="12" s="1"/>
  <c r="AQ5" i="12"/>
  <c r="AR5" i="12" s="1"/>
  <c r="AQ4" i="12"/>
  <c r="C2" i="12"/>
  <c r="C4" i="11"/>
  <c r="AR4" i="12" l="1"/>
  <c r="AQ12" i="12"/>
  <c r="AR12" i="12" s="1"/>
  <c r="H1461" i="13"/>
  <c r="F1461" i="13" s="1"/>
  <c r="G1461" i="13"/>
  <c r="E1461" i="13" s="1"/>
  <c r="E558" i="13"/>
  <c r="G44" i="1" s="1"/>
  <c r="G1455" i="13"/>
  <c r="E1455" i="13" s="1"/>
  <c r="G47" i="1" s="1"/>
  <c r="E1458" i="13"/>
  <c r="F1456" i="13"/>
  <c r="H1455" i="13"/>
  <c r="F1455" i="13" s="1"/>
  <c r="H47" i="1" s="1"/>
  <c r="F558" i="13"/>
  <c r="H44" i="1" s="1"/>
  <c r="I44" i="1" s="1"/>
  <c r="F1156" i="13"/>
  <c r="H46" i="1" s="1"/>
  <c r="E1156" i="13"/>
  <c r="G46" i="1" s="1"/>
  <c r="F857" i="13"/>
  <c r="H45" i="1" s="1"/>
  <c r="E857" i="13"/>
  <c r="G45" i="1" s="1"/>
  <c r="G12" i="13"/>
  <c r="C94" i="1" s="1"/>
  <c r="F259" i="13"/>
  <c r="H43" i="1" s="1"/>
  <c r="E259" i="13"/>
  <c r="G43" i="1" s="1"/>
  <c r="C4" i="13"/>
  <c r="H12" i="13"/>
  <c r="F7" i="13"/>
  <c r="E7" i="13"/>
  <c r="D4" i="1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P97" i="1" s="1"/>
  <c r="I47" i="1" l="1"/>
  <c r="I45" i="1"/>
  <c r="I46" i="1"/>
  <c r="C95" i="1"/>
  <c r="P99" i="1" s="1"/>
  <c r="Q99" i="1" s="1"/>
  <c r="I43" i="1"/>
  <c r="E12" i="13"/>
  <c r="G6" i="13"/>
  <c r="E6" i="13" s="1"/>
  <c r="G42" i="1" s="1"/>
  <c r="E4" i="13"/>
  <c r="F12" i="13"/>
  <c r="G94" i="1"/>
  <c r="H6" i="13"/>
  <c r="F6" i="13" s="1"/>
  <c r="H42" i="1" s="1"/>
  <c r="F4" i="13" l="1"/>
  <c r="C6" i="11"/>
  <c r="G95" i="1"/>
  <c r="P104" i="1" s="1"/>
  <c r="Q104" i="1" s="1"/>
  <c r="K94" i="1" l="1"/>
  <c r="I42" i="1" l="1"/>
  <c r="K95" i="1" l="1"/>
</calcChain>
</file>

<file path=xl/sharedStrings.xml><?xml version="1.0" encoding="utf-8"?>
<sst xmlns="http://schemas.openxmlformats.org/spreadsheetml/2006/main" count="1891" uniqueCount="440">
  <si>
    <t>CONCEPTO</t>
  </si>
  <si>
    <t>REAL</t>
  </si>
  <si>
    <t>PROGRAMADO VS REAL</t>
  </si>
  <si>
    <t>PROGRAM.</t>
  </si>
  <si>
    <t>VARIACION</t>
  </si>
  <si>
    <t>ACTIVIDADES</t>
  </si>
  <si>
    <t>REPORTE DE ESTATUS SEMANAL</t>
  </si>
  <si>
    <t>PROYECTO:</t>
  </si>
  <si>
    <t>UBICACIÓN:</t>
  </si>
  <si>
    <t>FECHA DEL PERIODO:</t>
  </si>
  <si>
    <t>GERENCIA DE PROYECTO</t>
  </si>
  <si>
    <t>HERMOSILLO, SONORA</t>
  </si>
  <si>
    <t>METTA GROUP</t>
  </si>
  <si>
    <t>PROGRAMA MAESTRO</t>
  </si>
  <si>
    <t>ESTATUS</t>
  </si>
  <si>
    <t>FECHA LÍMITE</t>
  </si>
  <si>
    <t>RESPONSABLE</t>
  </si>
  <si>
    <t>PROBLEMAS QUE PUEDEN VOLVERSE CRÍTICOS</t>
  </si>
  <si>
    <t>REPORTE FOTOGRÁFICO</t>
  </si>
  <si>
    <t>SEMANA No.</t>
  </si>
  <si>
    <t>SEM 10</t>
  </si>
  <si>
    <t>SEM 11</t>
  </si>
  <si>
    <t>SEM 12</t>
  </si>
  <si>
    <t>SEM 13</t>
  </si>
  <si>
    <t>SEM 14</t>
  </si>
  <si>
    <t>SEM 15</t>
  </si>
  <si>
    <t>SEM 16</t>
  </si>
  <si>
    <t>SEM 17</t>
  </si>
  <si>
    <t>SEM 18</t>
  </si>
  <si>
    <t>SEM 19</t>
  </si>
  <si>
    <t>SEM 20</t>
  </si>
  <si>
    <t>SEM 21</t>
  </si>
  <si>
    <t>SEM 22</t>
  </si>
  <si>
    <t>SEM 23</t>
  </si>
  <si>
    <t>SEM 24</t>
  </si>
  <si>
    <t>SEM 25</t>
  </si>
  <si>
    <t>SEM 26</t>
  </si>
  <si>
    <t>SEM 27</t>
  </si>
  <si>
    <t>SEM 28</t>
  </si>
  <si>
    <t>SEM 29</t>
  </si>
  <si>
    <t>SEM 30</t>
  </si>
  <si>
    <t>SEM 31</t>
  </si>
  <si>
    <t>SEM 32</t>
  </si>
  <si>
    <t>SEM 33</t>
  </si>
  <si>
    <t>SEM 34</t>
  </si>
  <si>
    <t>SEM 35</t>
  </si>
  <si>
    <t>SEM 36</t>
  </si>
  <si>
    <t>SEM 37</t>
  </si>
  <si>
    <t>AVANCE PROGRAMADO</t>
  </si>
  <si>
    <t>ABASTECIMIENTOS</t>
  </si>
  <si>
    <t xml:space="preserve">ESTATUS </t>
  </si>
  <si>
    <t>IMPORTANCIA</t>
  </si>
  <si>
    <t>FEHCA REQUERIDA</t>
  </si>
  <si>
    <t>AVANCE PROG.</t>
  </si>
  <si>
    <t>POR EJECUTAR</t>
  </si>
  <si>
    <t>REAL EJECUTADO</t>
  </si>
  <si>
    <t>PROGRAMADOS PARA SIGUIENTES SEMANAS</t>
  </si>
  <si>
    <t>AVANCE  FÍSICO REAL</t>
  </si>
  <si>
    <t xml:space="preserve"> </t>
  </si>
  <si>
    <t>01</t>
  </si>
  <si>
    <t>SEMANA 01 DEL 06 AL 11 DE ABRIL</t>
  </si>
  <si>
    <t>ACTIVIDADES REALIZADAS ESTA SEMANA - 01</t>
  </si>
  <si>
    <t>ACTIVIDADES PROGRAMADAS PROXIMA SEMANA - 02</t>
  </si>
  <si>
    <t xml:space="preserve">      ESCALERA</t>
  </si>
  <si>
    <t>% PROGRAMADO</t>
  </si>
  <si>
    <t>% REAL</t>
  </si>
  <si>
    <t>$ PROGRAMADO</t>
  </si>
  <si>
    <t>$ REAL</t>
  </si>
  <si>
    <t>SEMANAL PROGRAMADO</t>
  </si>
  <si>
    <t>ACUMULADO PROGRAMADO</t>
  </si>
  <si>
    <t>SEMANAL REAL</t>
  </si>
  <si>
    <t>ACUMULADO REAL</t>
  </si>
  <si>
    <t>INICIO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</si>
  <si>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</si>
  <si>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</si>
  <si>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</si>
  <si>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</si>
  <si>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</si>
  <si>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</si>
  <si>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</si>
  <si>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</si>
  <si>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</si>
  <si>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AVANCE PROGRAMADO SEMANA - 01</t>
  </si>
  <si>
    <t>AVANCE FÍSICO - FINANCIERO SEMANA - 01</t>
  </si>
  <si>
    <t>TOTAL</t>
  </si>
  <si>
    <t>SEMANA 01</t>
  </si>
  <si>
    <t xml:space="preserve">6 CASAS </t>
  </si>
  <si>
    <t>ALTOZANO - METTA - 6 CASAS</t>
  </si>
  <si>
    <t xml:space="preserve">   LOTE 20 M-663 ARTICO-A</t>
  </si>
  <si>
    <t xml:space="preserve">   LOTE 21 M-663 CORSAC-A</t>
  </si>
  <si>
    <t xml:space="preserve">   LOTE 22 M-663 CORSAC-B</t>
  </si>
  <si>
    <t xml:space="preserve">   LOTE 02 M-661 CORSAC-B</t>
  </si>
  <si>
    <t xml:space="preserve">   LOTE 03 M-661 CORSAC-A</t>
  </si>
  <si>
    <t xml:space="preserve">   LOTE 04 M-661 ARTICO-A</t>
  </si>
  <si>
    <t>SEM 01</t>
  </si>
  <si>
    <t>SEM 02</t>
  </si>
  <si>
    <t>SEM 03</t>
  </si>
  <si>
    <t>SEM 04</t>
  </si>
  <si>
    <t>SEM 05</t>
  </si>
  <si>
    <t>SEM 06</t>
  </si>
  <si>
    <t>SEM 07</t>
  </si>
  <si>
    <t>SEM 08</t>
  </si>
  <si>
    <t>SEM 09</t>
  </si>
  <si>
    <t>LOTE 20 M-663 ARTICO-A</t>
  </si>
  <si>
    <t xml:space="preserve">   TRABAJOS PRELIMINARES</t>
  </si>
  <si>
    <t xml:space="preserve">      Trazo y nivelación</t>
  </si>
  <si>
    <t xml:space="preserve">   EXCAVACIONES</t>
  </si>
  <si>
    <t xml:space="preserve">      Excavación a mano material tipo B</t>
  </si>
  <si>
    <t xml:space="preserve">      Acarreo en carretilla 20 m</t>
  </si>
  <si>
    <t xml:space="preserve">   CIMENTACION</t>
  </si>
  <si>
    <t xml:space="preserve">      Cimbra perimetral losa de cimentación</t>
  </si>
  <si>
    <t xml:space="preserve">      Sistema antitermitas PVC</t>
  </si>
  <si>
    <t xml:space="preserve">      Hule negro en cimentación</t>
  </si>
  <si>
    <t xml:space="preserve">      Ramaleo poliducto eléctrico cimentación</t>
  </si>
  <si>
    <t xml:space="preserve">      Ramaleo eléctrico base-medición a centro de carga</t>
  </si>
  <si>
    <t xml:space="preserve">      Ramaleo eléctrico exterior</t>
  </si>
  <si>
    <t xml:space="preserve">      Ramaleo para cable poliducto 3/4</t>
  </si>
  <si>
    <t xml:space="preserve">      Ramaleo para TV poliducto 3/4</t>
  </si>
  <si>
    <t xml:space="preserve">      Ramaleo hidráulico CPVC 1 cimentación</t>
  </si>
  <si>
    <t xml:space="preserve">      Ramaleo hidráulico CPVC 3/4 cimentación</t>
  </si>
  <si>
    <t xml:space="preserve">      Ramaleo hidráulico CPVC 1/2 cimentación</t>
  </si>
  <si>
    <t xml:space="preserve">      Prueba hidráulica</t>
  </si>
  <si>
    <t xml:space="preserve">      Ramaleo sanitario PVC 4 cimentación</t>
  </si>
  <si>
    <t xml:space="preserve">      Ramaleo sanitario PVC 2 cimentación</t>
  </si>
  <si>
    <t xml:space="preserve">      Prueba sanitaria</t>
  </si>
  <si>
    <t xml:space="preserve">      Acero contratrabe CT-1</t>
  </si>
  <si>
    <t xml:space="preserve">      Acero contratrabe CT-2</t>
  </si>
  <si>
    <t xml:space="preserve">      Malla electrosoldada 6-6/8-8</t>
  </si>
  <si>
    <t xml:space="preserve">      Bastón de refuerzo LS</t>
  </si>
  <si>
    <t xml:space="preserve">      Bastón de refuerzo LI</t>
  </si>
  <si>
    <t xml:space="preserve">      Colado losa de cimentación f’c=200</t>
  </si>
  <si>
    <t xml:space="preserve">      Curado de concreto</t>
  </si>
  <si>
    <t xml:space="preserve">      Acero zapata ZT-1</t>
  </si>
  <si>
    <t xml:space="preserve">      Acero zapata ZT-2</t>
  </si>
  <si>
    <t xml:space="preserve">      Colado zapatas aisladas f’c=200</t>
  </si>
  <si>
    <t xml:space="preserve">      Cimbra frontera zapatas</t>
  </si>
  <si>
    <t xml:space="preserve">   MUROS, PLANTA BAJA. CASTILLOS Y CERRAMIENTOS</t>
  </si>
  <si>
    <t xml:space="preserve">      Anclaje de castillos y Columnas PB</t>
  </si>
  <si>
    <t xml:space="preserve">      Castillo K1</t>
  </si>
  <si>
    <t xml:space="preserve">      Castillo K2</t>
  </si>
  <si>
    <t xml:space="preserve">      Castillo K3</t>
  </si>
  <si>
    <t xml:space="preserve">      Castillo K4</t>
  </si>
  <si>
    <t xml:space="preserve">      Castillo K5</t>
  </si>
  <si>
    <t xml:space="preserve">      Refuerzo de muro K6</t>
  </si>
  <si>
    <t xml:space="preserve">      Columna C1</t>
  </si>
  <si>
    <t xml:space="preserve">      Columna C2</t>
  </si>
  <si>
    <t xml:space="preserve">      Dala de cerramiento CR-1</t>
  </si>
  <si>
    <t xml:space="preserve">      Dala de cerramiento CR-2</t>
  </si>
  <si>
    <t xml:space="preserve">      Cadena block dala</t>
  </si>
  <si>
    <t xml:space="preserve">      Muro de ladrillo aparente</t>
  </si>
  <si>
    <t xml:space="preserve">      Muro de block planta baja</t>
  </si>
  <si>
    <t xml:space="preserve">   ESCALERA</t>
  </si>
  <si>
    <t xml:space="preserve">      Escalera de concreto armado</t>
  </si>
  <si>
    <t xml:space="preserve">   LOSA DE ENTREPISO (viegueta y caseton)</t>
  </si>
  <si>
    <t xml:space="preserve">      Vigueta pretensada 1.40 m</t>
  </si>
  <si>
    <t xml:space="preserve">      Vigueta pretensada 1.95 m</t>
  </si>
  <si>
    <t xml:space="preserve">      Vigueta pretensada 3.35 m</t>
  </si>
  <si>
    <t xml:space="preserve">      Vigueta pretensada 3.50 m</t>
  </si>
  <si>
    <t xml:space="preserve">      Vigueta pretensada 3.75 m</t>
  </si>
  <si>
    <t xml:space="preserve">      Vigueta pretensada 3.90 m</t>
  </si>
  <si>
    <t xml:space="preserve">      Bovedilla poliestireno entrepiso</t>
  </si>
  <si>
    <t xml:space="preserve">      Dala de coronamiento</t>
  </si>
  <si>
    <t xml:space="preserve">      Nervadura NR-1</t>
  </si>
  <si>
    <t xml:space="preserve">      Nervadura NR-2</t>
  </si>
  <si>
    <t xml:space="preserve">      Trabe TR-1</t>
  </si>
  <si>
    <t xml:space="preserve">      Malla 66-10/10 losa de compresión</t>
  </si>
  <si>
    <t xml:space="preserve">      Cimbra losa de azotea</t>
  </si>
  <si>
    <t xml:space="preserve">      Concreto losa de entrepiso f’c=200</t>
  </si>
  <si>
    <t xml:space="preserve">      Cimbra exterior corta losa</t>
  </si>
  <si>
    <t xml:space="preserve">      Ramaleo poliducto eléctrico entrepiso</t>
  </si>
  <si>
    <t xml:space="preserve">      Ramaleo hidráulico CPVC 3/4</t>
  </si>
  <si>
    <t xml:space="preserve">      Ramaleo hidráulico CPVC 1/2</t>
  </si>
  <si>
    <t xml:space="preserve">      Ramaleo sanitario PVC 4</t>
  </si>
  <si>
    <t xml:space="preserve">      Ramaleo sanitario PVC 2</t>
  </si>
  <si>
    <t xml:space="preserve">   MUROS EN PLANTA ALTA, CASTILLOS Y CERRM.</t>
  </si>
  <si>
    <t xml:space="preserve">      Anclaje de castillos y Columnas PA</t>
  </si>
  <si>
    <t xml:space="preserve">      Muro de block planta alta</t>
  </si>
  <si>
    <t xml:space="preserve">   LOSA AZOTEA</t>
  </si>
  <si>
    <t xml:space="preserve">      Cortalosa CL-1</t>
  </si>
  <si>
    <t xml:space="preserve">      Vigueta pretensada V11-40 390</t>
  </si>
  <si>
    <t xml:space="preserve">      Vigueta pretensada V11-30 280</t>
  </si>
  <si>
    <t xml:space="preserve">      Vigueta pretensada V11-30 285</t>
  </si>
  <si>
    <t xml:space="preserve">      Vigueta pretensada V11-30 220</t>
  </si>
  <si>
    <t xml:space="preserve">      Vigueta pretensada V11-40 75</t>
  </si>
  <si>
    <t xml:space="preserve">      Vigueta pretensada V11-40 195</t>
  </si>
  <si>
    <t xml:space="preserve">      Vigueta pretensada V11-50 450</t>
  </si>
  <si>
    <t xml:space="preserve">      Bovedilla poliestireno azotea</t>
  </si>
  <si>
    <t xml:space="preserve">      Concreto losa de azotea f’c=200</t>
  </si>
  <si>
    <t xml:space="preserve">      Ramaleo de poliducto para inst. electrica en azotea</t>
  </si>
  <si>
    <t xml:space="preserve">   PRETIL Y ACABADOS DE AZOTEA</t>
  </si>
  <si>
    <t xml:space="preserve">      Dala de cerramiento en pretil</t>
  </si>
  <si>
    <t xml:space="preserve">      Muro de block 12x15x40</t>
  </si>
  <si>
    <t xml:space="preserve">      Chaflán en azotea</t>
  </si>
  <si>
    <t xml:space="preserve">      Aplanado exterior Mortermax fino</t>
  </si>
  <si>
    <t xml:space="preserve">      Acabado de azotea para impermeabilizar</t>
  </si>
  <si>
    <t xml:space="preserve">   PRIMERA LIMPIEZA DE OBRA</t>
  </si>
  <si>
    <t xml:space="preserve">      Primera limpieza de obra</t>
  </si>
  <si>
    <t xml:space="preserve">      Primera carga y acarreo de escombro</t>
  </si>
  <si>
    <t xml:space="preserve">   IMPERMEABILIZACION</t>
  </si>
  <si>
    <t xml:space="preserve">      Impermeabilización de pretil Kover 5 años</t>
  </si>
  <si>
    <t xml:space="preserve">      Impermeabilización de losa Kover 5 años</t>
  </si>
  <si>
    <t xml:space="preserve">   ALBAÑILERIA</t>
  </si>
  <si>
    <t xml:space="preserve">      Lavadero de granito</t>
  </si>
  <si>
    <t xml:space="preserve">      Ramaleo hidráulico exterior CPVC 1 1/4</t>
  </si>
  <si>
    <t xml:space="preserve">      Ramaleo hidráulico exterior CPVC 1</t>
  </si>
  <si>
    <t xml:space="preserve">      Ramaleo hidráulico exterior CPVC 3/4</t>
  </si>
  <si>
    <t xml:space="preserve">      Ramaleo hidráulico exterior CPVC 1/2</t>
  </si>
  <si>
    <t xml:space="preserve">      Ramaleo sanitario exterior PVC 4</t>
  </si>
  <si>
    <t xml:space="preserve">      Ramaleo sanitario exterior PVC 2</t>
  </si>
  <si>
    <t xml:space="preserve">      Centro de carga muros PB</t>
  </si>
  <si>
    <t xml:space="preserve">      Firme de concreto 8 cm</t>
  </si>
  <si>
    <t xml:space="preserve">      Cisterna 2800 L con instalación</t>
  </si>
  <si>
    <t xml:space="preserve">      Banqueta y huellas de concreto</t>
  </si>
  <si>
    <t xml:space="preserve">      Número oficial</t>
  </si>
  <si>
    <t xml:space="preserve">      Detallado de rodapié exterior</t>
  </si>
  <si>
    <t xml:space="preserve">      Detallado de muros interiores</t>
  </si>
  <si>
    <t xml:space="preserve">   ACABADOS EN FACHADA A</t>
  </si>
  <si>
    <t xml:space="preserve">      Aplanado grueso fachada</t>
  </si>
  <si>
    <t xml:space="preserve">      Aplanado fino estuco fachada</t>
  </si>
  <si>
    <t xml:space="preserve">      Pintura acrílica 1-0102P</t>
  </si>
  <si>
    <t xml:space="preserve">      Pintura acrílica 1-1404D</t>
  </si>
  <si>
    <t xml:space="preserve">   APLANADOS Y PINTURA</t>
  </si>
  <si>
    <t xml:space="preserve">      Yeso pulido en muros</t>
  </si>
  <si>
    <t xml:space="preserve">      Pintura vinílica 699 Cottage White</t>
  </si>
  <si>
    <t xml:space="preserve">      Pintura vinílica 691 Pacific Bungalow</t>
  </si>
  <si>
    <t xml:space="preserve">      Yeso pulido en plafones</t>
  </si>
  <si>
    <t xml:space="preserve">      Pintura vinílica Nano White</t>
  </si>
  <si>
    <t xml:space="preserve">      Perfilado de puertas y ventanas</t>
  </si>
  <si>
    <t xml:space="preserve">   PISOS Y AZULEJOS</t>
  </si>
  <si>
    <t xml:space="preserve">      AREA SOCIAL</t>
  </si>
  <si>
    <t xml:space="preserve">         Piso Moonside Crema 60x60</t>
  </si>
  <si>
    <t xml:space="preserve">         Zoclo piso 60x60 Moonside Crema</t>
  </si>
  <si>
    <t xml:space="preserve">      BAÑOS</t>
  </si>
  <si>
    <t xml:space="preserve">         Piso porcelánico Acali 20x20 beige</t>
  </si>
  <si>
    <t xml:space="preserve">         Impermeabilización en regadera</t>
  </si>
  <si>
    <t xml:space="preserve">         Azulejo Moonside Crema 60x60</t>
  </si>
  <si>
    <t xml:space="preserve">         Fabricacion de nicho decorativo en baños</t>
  </si>
  <si>
    <t xml:space="preserve">         Sardinel en regadera</t>
  </si>
  <si>
    <t xml:space="preserve">   EXTERIOR</t>
  </si>
  <si>
    <t xml:space="preserve">      Rastrilleo, afine y nivelado de tierra</t>
  </si>
  <si>
    <t xml:space="preserve">   SEGUNDA LIMPIEZA DE OBRA</t>
  </si>
  <si>
    <t xml:space="preserve">      Segunda limpieza de obra</t>
  </si>
  <si>
    <t xml:space="preserve">      Segunda carga y acarreo de escombro</t>
  </si>
  <si>
    <t xml:space="preserve">   CANCELERIA PUERTAS Y VENTANAS DE ALUMINIO</t>
  </si>
  <si>
    <t xml:space="preserve">      Puerta ventana P-05 corrediza</t>
  </si>
  <si>
    <t xml:space="preserve">      Ventana corrediza V-01</t>
  </si>
  <si>
    <t xml:space="preserve">      Ventana corrediza V-03</t>
  </si>
  <si>
    <t xml:space="preserve">      Ventana corrediza V-05</t>
  </si>
  <si>
    <t xml:space="preserve">      Ventana corrediza tipo XO</t>
  </si>
  <si>
    <t xml:space="preserve">      Ventana fija escalera</t>
  </si>
  <si>
    <t xml:space="preserve">   CARPINTERIA, PUERTAS EXTERIORES E INTERIORES</t>
  </si>
  <si>
    <t xml:space="preserve">      Puerta P-01 de seguridad</t>
  </si>
  <si>
    <t xml:space="preserve">      Puerta P-03 interior</t>
  </si>
  <si>
    <t xml:space="preserve">      Puerta P-02 interior</t>
  </si>
  <si>
    <t xml:space="preserve">      Puerta exterior lavandería</t>
  </si>
  <si>
    <t xml:space="preserve">   INSTALACION ELECTRICA</t>
  </si>
  <si>
    <t xml:space="preserve">      Alimentación eléctrica base a centro de carga</t>
  </si>
  <si>
    <t xml:space="preserve">      Interruptor termomagnético 1x15 A</t>
  </si>
  <si>
    <t xml:space="preserve">      Interruptor termomagnético 1x20 A</t>
  </si>
  <si>
    <t xml:space="preserve">      Interruptor termomagnético 2x20 A</t>
  </si>
  <si>
    <t xml:space="preserve">      Salida para apagador 3 vías</t>
  </si>
  <si>
    <t xml:space="preserve">      Salida para apagador triple</t>
  </si>
  <si>
    <t xml:space="preserve">      Salida para apagador doble</t>
  </si>
  <si>
    <t xml:space="preserve">      Salida para apagador sencillo</t>
  </si>
  <si>
    <t xml:space="preserve">      Salida de alumbrado en losa</t>
  </si>
  <si>
    <t xml:space="preserve">      Salida de alumbrado en muro</t>
  </si>
  <si>
    <t xml:space="preserve">      Salida para contacto 220 V</t>
  </si>
  <si>
    <t xml:space="preserve">      Salida para contacto doble</t>
  </si>
  <si>
    <t xml:space="preserve">      Salida para contacto doble área húmeda</t>
  </si>
  <si>
    <t xml:space="preserve">      Salida TV / telefonía / intercom</t>
  </si>
  <si>
    <t xml:space="preserve">      Extractor 4 baño</t>
  </si>
  <si>
    <t xml:space="preserve">      Prueba eléctrica</t>
  </si>
  <si>
    <t xml:space="preserve">      Murete convencional</t>
  </si>
  <si>
    <t xml:space="preserve">   INSTALACIÓN HIDRO-SANITARIA</t>
  </si>
  <si>
    <t xml:space="preserve">      Tubo PVC 3/4 red de condensados</t>
  </si>
  <si>
    <t xml:space="preserve">      Caja PVC para lavadora</t>
  </si>
  <si>
    <t xml:space="preserve">      Salida para secadora PVC 4</t>
  </si>
  <si>
    <t xml:space="preserve">      Salida hidráulica para boiler</t>
  </si>
  <si>
    <t xml:space="preserve">      Salida hidráulica para llave de jardín</t>
  </si>
  <si>
    <t xml:space="preserve">      Salida hidráulica para lavabo</t>
  </si>
  <si>
    <t xml:space="preserve">      Salida hidráulica para purificación</t>
  </si>
  <si>
    <t xml:space="preserve">      Salida sanitaria para lavabo</t>
  </si>
  <si>
    <t xml:space="preserve">      Salida hidráulica para lavadero</t>
  </si>
  <si>
    <t xml:space="preserve">      Salida sanitaria para lavadero</t>
  </si>
  <si>
    <t xml:space="preserve">      Salida hidráulica para lavadora</t>
  </si>
  <si>
    <t xml:space="preserve">      Salida sanitaria para lavadora</t>
  </si>
  <si>
    <t xml:space="preserve">      Salida hidráulica para regadera</t>
  </si>
  <si>
    <t xml:space="preserve">      Salida sanitaria para regadera</t>
  </si>
  <si>
    <t xml:space="preserve">      Salida hidráulica para WC</t>
  </si>
  <si>
    <t xml:space="preserve">      Salida sanitaria para WC</t>
  </si>
  <si>
    <t xml:space="preserve">      Salida hidráulica para zinc</t>
  </si>
  <si>
    <t xml:space="preserve">      Salida sanitaria para zinc</t>
  </si>
  <si>
    <t xml:space="preserve">      Tubo para ventila de baño 2</t>
  </si>
  <si>
    <t xml:space="preserve">      Tubo para minisplit PVC 3</t>
  </si>
  <si>
    <t xml:space="preserve">      Cuadro de medición</t>
  </si>
  <si>
    <t xml:space="preserve">      Salida hidráulica para tanque hidroneumático</t>
  </si>
  <si>
    <t xml:space="preserve">      Salida hidráulica para Active Driver</t>
  </si>
  <si>
    <t xml:space="preserve">   INSTALACION DE GAS</t>
  </si>
  <si>
    <t xml:space="preserve">      Ramaleo para gas 1/2</t>
  </si>
  <si>
    <t xml:space="preserve">   MUEBLES SANITARIOS</t>
  </si>
  <si>
    <t xml:space="preserve">      WC one piece Smart Corona</t>
  </si>
  <si>
    <t xml:space="preserve">      Lavabo Tarento Vanity</t>
  </si>
  <si>
    <t xml:space="preserve">      Regadera y monomando Thames</t>
  </si>
  <si>
    <t xml:space="preserve">      Coladera cuadrada para inserto cerámico</t>
  </si>
  <si>
    <t xml:space="preserve">      Toallero argolla Thames</t>
  </si>
  <si>
    <t xml:space="preserve">      Toallero barra Thames</t>
  </si>
  <si>
    <t xml:space="preserve">      Portapapel Thames</t>
  </si>
  <si>
    <t xml:space="preserve">      Gancho percha Thames</t>
  </si>
  <si>
    <t xml:space="preserve">   EQUIPAMIENTO</t>
  </si>
  <si>
    <t xml:space="preserve">      Electronivel Rotoplas 5 m</t>
  </si>
  <si>
    <t xml:space="preserve">      Manómetro</t>
  </si>
  <si>
    <t xml:space="preserve">      Interruptor de presión 30-50 PSI</t>
  </si>
  <si>
    <t xml:space="preserve">      Tanque hidroneumático FPS-24LX</t>
  </si>
  <si>
    <t xml:space="preserve">      Bomba sumergible Dominator 1.2 HP</t>
  </si>
  <si>
    <t xml:space="preserve">      Cisterna prefabricada 2800 L</t>
  </si>
  <si>
    <t xml:space="preserve">   LUMINARIAS</t>
  </si>
  <si>
    <t xml:space="preserve">      Roseta de cerámica para luminaria</t>
  </si>
  <si>
    <t xml:space="preserve">      Spot Brighton</t>
  </si>
  <si>
    <t xml:space="preserve">      Arbotante bidireccional 12W</t>
  </si>
  <si>
    <t xml:space="preserve">   TERCER LIMPIEZA DE OBRA</t>
  </si>
  <si>
    <t xml:space="preserve">      Limpieza fina para entrega</t>
  </si>
  <si>
    <t xml:space="preserve">      Tercera limpieza de obra</t>
  </si>
  <si>
    <t xml:space="preserve">      Tercera carga y acarreo de escombro</t>
  </si>
  <si>
    <t xml:space="preserve">   OBRA EXTERIOR - BARDA</t>
  </si>
  <si>
    <t xml:space="preserve">      Barda de block aparente</t>
  </si>
  <si>
    <t>LOTE 21 M-663 CORSAC-A</t>
  </si>
  <si>
    <t xml:space="preserve">      Ramaleo hidráulico CPVC 1-1/4" cimentación</t>
  </si>
  <si>
    <t xml:space="preserve">      Ramaleo electrico en Muros Planta Baja</t>
  </si>
  <si>
    <t xml:space="preserve">      Dala de coronamiento 10cm</t>
  </si>
  <si>
    <t xml:space="preserve">      Dala de coronamiento 12cm</t>
  </si>
  <si>
    <t xml:space="preserve">      Trabe TR-2</t>
  </si>
  <si>
    <t xml:space="preserve">      Nervadura NR-3</t>
  </si>
  <si>
    <t xml:space="preserve">      Nervadura NR-4</t>
  </si>
  <si>
    <t xml:space="preserve">      Hacero de refuerzo en nervios #3</t>
  </si>
  <si>
    <t xml:space="preserve">      Acero de refuerzo long. #3</t>
  </si>
  <si>
    <t xml:space="preserve">      Acero de refuerzo long. #4</t>
  </si>
  <si>
    <t xml:space="preserve">      Acero de Losa Maciza</t>
  </si>
  <si>
    <t xml:space="preserve">      Caseton de 60x60x20cm</t>
  </si>
  <si>
    <t xml:space="preserve">      Ramaleo hidráulico CPVC 3/4"</t>
  </si>
  <si>
    <t xml:space="preserve">      Ramaleo hidráulico CPVC 1/2"</t>
  </si>
  <si>
    <t xml:space="preserve">      Ramaleo sanitario PVC 4"</t>
  </si>
  <si>
    <t xml:space="preserve">      Ramaleo sanitario PVC 2"</t>
  </si>
  <si>
    <t xml:space="preserve">      Castillo K6</t>
  </si>
  <si>
    <t xml:space="preserve">      Refuerzo de muro</t>
  </si>
  <si>
    <t xml:space="preserve">      Ramaleo electrico en Muros Planta Alta</t>
  </si>
  <si>
    <t xml:space="preserve">      Cortalosa CL-2</t>
  </si>
  <si>
    <t xml:space="preserve">      Vigueta pretensada V11-30 125</t>
  </si>
  <si>
    <t xml:space="preserve">      Vigueta pretensada V11-30 185</t>
  </si>
  <si>
    <t xml:space="preserve">      Vigueta pretensada V11-30 190</t>
  </si>
  <si>
    <t xml:space="preserve">      Vigueta pretensada V11-30 205</t>
  </si>
  <si>
    <t xml:space="preserve">      Vigueta pretensada V11-30 215</t>
  </si>
  <si>
    <t xml:space="preserve">      Vigueta pretensada V11-30 260</t>
  </si>
  <si>
    <t xml:space="preserve">      Vigueta pretensada V11-40 330</t>
  </si>
  <si>
    <t xml:space="preserve">      Vigueta pretensada V11-40 335</t>
  </si>
  <si>
    <t xml:space="preserve">      Vigueta pretensada V11-40 505</t>
  </si>
  <si>
    <t xml:space="preserve">      Muro de ladrillo 7x14x28</t>
  </si>
  <si>
    <t xml:space="preserve">      Diamante de entortado</t>
  </si>
  <si>
    <t xml:space="preserve">      Entortado de Losa</t>
  </si>
  <si>
    <t xml:space="preserve">      Ranurado y resane general inst. en muros</t>
  </si>
  <si>
    <t xml:space="preserve">      Ranurado y resane eléctrico 1/2 a 3/4</t>
  </si>
  <si>
    <t xml:space="preserve">      Ranurado y resane hidráulico 1/2 a 1</t>
  </si>
  <si>
    <t xml:space="preserve">      Resane sanitario tubería 2</t>
  </si>
  <si>
    <t xml:space="preserve">      Resane sanitario tubería 4</t>
  </si>
  <si>
    <t xml:space="preserve">      Resane minisplit tubería 3</t>
  </si>
  <si>
    <t xml:space="preserve">      Detalle de losas y volados acabado fino</t>
  </si>
  <si>
    <t xml:space="preserve">      Detalle fino en muros interiores</t>
  </si>
  <si>
    <t xml:space="preserve">      Jardín interior bajo escalera con pozo de absorción</t>
  </si>
  <si>
    <t xml:space="preserve">      Cantera 40x60cm</t>
  </si>
  <si>
    <t xml:space="preserve">      Lambrin de permabase 1 cara</t>
  </si>
  <si>
    <t xml:space="preserve">      Enchapado de Permabase</t>
  </si>
  <si>
    <t xml:space="preserve">      Cubierta de Permabase</t>
  </si>
  <si>
    <t xml:space="preserve">      Aplanado en muros enjarre grueso</t>
  </si>
  <si>
    <t xml:space="preserve">      Pintura vinílica OR-W13 SHOELACE </t>
  </si>
  <si>
    <t xml:space="preserve">      Pintura vinílica PPUI5-13 Creamy M.</t>
  </si>
  <si>
    <t xml:space="preserve">      Pintura vinílica MD-06 Nano White</t>
  </si>
  <si>
    <t xml:space="preserve">         Piso Adhara 44X89 </t>
  </si>
  <si>
    <t xml:space="preserve">         Zoclo Adhara 44X89 </t>
  </si>
  <si>
    <t xml:space="preserve">      RECAMARAS</t>
  </si>
  <si>
    <t xml:space="preserve">         Acabado aparente de pisos - pulido</t>
  </si>
  <si>
    <t xml:space="preserve">         Azulejo Mod. Ornamenta 60x30</t>
  </si>
  <si>
    <t xml:space="preserve">         Piso Mod. Valparaiso 20x20</t>
  </si>
  <si>
    <t xml:space="preserve">      Fijo medidas 0.30x4.90m</t>
  </si>
  <si>
    <t xml:space="preserve">      Ventana Corrediza 1.80x1.60m</t>
  </si>
  <si>
    <t xml:space="preserve">      Ventana Corrediza 0.60x0.40m</t>
  </si>
  <si>
    <t xml:space="preserve">      Ventana Corrediza 1.54x0.50m</t>
  </si>
  <si>
    <t xml:space="preserve">      Fijo medidas 1.40x2.50m</t>
  </si>
  <si>
    <t xml:space="preserve">      Ventana Corrediza 1.80x1.50m</t>
  </si>
  <si>
    <t xml:space="preserve">      Ventana Corrediza 1.40x1.60m</t>
  </si>
  <si>
    <t xml:space="preserve">      Ventana Corrediza 0.95x0.40m</t>
  </si>
  <si>
    <t xml:space="preserve">      Puerta corrediza 3.85x2.10m</t>
  </si>
  <si>
    <t xml:space="preserve">      Barandal de Cristal Templado</t>
  </si>
  <si>
    <t xml:space="preserve">      Puerta P-01 interior</t>
  </si>
  <si>
    <t xml:space="preserve">      Puerta P-04 interior</t>
  </si>
  <si>
    <t xml:space="preserve">   VOLADOS, BARANDAL Y ESCALERA</t>
  </si>
  <si>
    <t xml:space="preserve">      Barandal de Herreria en escalera</t>
  </si>
  <si>
    <t xml:space="preserve">      Escalera de herreria</t>
  </si>
  <si>
    <t xml:space="preserve">      Techumbre en acceso Principal</t>
  </si>
  <si>
    <t xml:space="preserve">      Techumbre en 1.80x0.50m</t>
  </si>
  <si>
    <t xml:space="preserve">      Techumbre en 1.40x0.50m</t>
  </si>
  <si>
    <t xml:space="preserve">      Imper con manto prefabricado</t>
  </si>
  <si>
    <t xml:space="preserve">      Plafon hoja tablaroca std</t>
  </si>
  <si>
    <t xml:space="preserve">      Acabado Woodstock en parte inf. Cubierta</t>
  </si>
  <si>
    <t xml:space="preserve">      Salida para contacto exterior doble</t>
  </si>
  <si>
    <t xml:space="preserve">      Tubería condensados PVC 1</t>
  </si>
  <si>
    <t xml:space="preserve">      Tubería sanitaria PVC 4</t>
  </si>
  <si>
    <t xml:space="preserve">      Coladera H-444</t>
  </si>
  <si>
    <t xml:space="preserve">      Pozo de absorción 0.50x0.50x0.50</t>
  </si>
  <si>
    <t xml:space="preserve">      Prueba sanitaria final</t>
  </si>
  <si>
    <t xml:space="preserve">      Prueba hidrostática final</t>
  </si>
  <si>
    <t xml:space="preserve">      Salida válvula control 19 mm</t>
  </si>
  <si>
    <t xml:space="preserve">      Salida válvula control 13 mm</t>
  </si>
  <si>
    <t xml:space="preserve">      WC completo Austral</t>
  </si>
  <si>
    <t xml:space="preserve">      Lavabo Senna con pedestal</t>
  </si>
  <si>
    <t xml:space="preserve">      Tarja / lavabo combo Guinea 80x45</t>
  </si>
  <si>
    <t xml:space="preserve">      Regadera con monomando</t>
  </si>
  <si>
    <t xml:space="preserve">      Coladera inserto cerámico</t>
  </si>
  <si>
    <t xml:space="preserve">      Toallero sencillo</t>
  </si>
  <si>
    <t xml:space="preserve">      Toallero barra</t>
  </si>
  <si>
    <t xml:space="preserve">      Portapapel</t>
  </si>
  <si>
    <t xml:space="preserve">      Gancho baño</t>
  </si>
  <si>
    <t xml:space="preserve">      Roseta cerámica</t>
  </si>
  <si>
    <t xml:space="preserve">      Luminaria lagartijera LED</t>
  </si>
  <si>
    <t xml:space="preserve">      Spot 6W Tecnolite</t>
  </si>
  <si>
    <t xml:space="preserve">      Spot 7W Tecnolite</t>
  </si>
  <si>
    <t xml:space="preserve">      Arbotante exterior</t>
  </si>
  <si>
    <t xml:space="preserve">      Estaca LED exterior</t>
  </si>
  <si>
    <t xml:space="preserve">      Tira LED</t>
  </si>
  <si>
    <t xml:space="preserve">      Spot exterior 50W</t>
  </si>
  <si>
    <t xml:space="preserve">   TIMBRE</t>
  </si>
  <si>
    <t xml:space="preserve">      Timbre inalámbrico con bocina</t>
  </si>
  <si>
    <t>LOTE 22 M-663 CORSAC-B</t>
  </si>
  <si>
    <t>LOTE 02 M-661 CORSAC-B</t>
  </si>
  <si>
    <t>LOTE 03 M-661 CORSAC-A</t>
  </si>
  <si>
    <t>LOTE 04 M-661 ARTICO-A</t>
  </si>
  <si>
    <t>CASAS ZORRO - ALTOZANO RESIDENCIAL</t>
  </si>
  <si>
    <t>ALTOZANO - ZORRO - 6 VIVIENDAS</t>
  </si>
  <si>
    <t>TOTAL 6 CASAS</t>
  </si>
  <si>
    <t>LOTE 20 - MZA 663</t>
  </si>
  <si>
    <t>LOTE 21 - MZA 663</t>
  </si>
  <si>
    <t>LOTE 22 - MZA 663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</si>
</sst>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\-&quot;$&quot;#,##0.00"/>
    <numFmt numFmtId="44" formatCode="_-&quot;$&quot;* #,##0.00_-;\-&quot;$&quot;* #,##0.00_-;_-&quot;$&quot;* &quot;-&quot;??_-;_-@_-"/>
    <numFmt numFmtId="164" formatCode="0.0%"/>
    <numFmt numFmtId="165" formatCode="&quot;$&quot;#,##0.00"/>
    <numFmt numFmtId="170" formatCode="&quot;$&quot;#,##0.00_);[Red]\(&quot;$&quot;#,##0.00\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0"/>
      <color theme="5"/>
      <name val="Aptos Narrow"/>
      <family val="2"/>
      <scheme val="minor"/>
    </font>
    <font>
      <b/>
      <sz val="10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rgb="FF00B05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9D9D9"/>
        <bgColor indexed="64"/>
      </patternFill>
    </fill>
  </fills>
  <borders count="4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9">
    <xf numFmtId="0" fontId="0" fillId="0" borderId="0" xfId="0"/>
    <xf numFmtId="0" fontId="0" fillId="2" borderId="0" xfId="0" applyFill="1"/>
    <xf numFmtId="0" fontId="4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9" fontId="0" fillId="2" borderId="0" xfId="2" applyFont="1" applyFill="1" applyAlignment="1">
      <alignment horizont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4" fillId="4" borderId="4" xfId="0" applyFont="1" applyFill="1" applyBorder="1" applyAlignment="1">
      <alignment vertical="center"/>
    </xf>
    <xf numFmtId="164" fontId="4" fillId="3" borderId="1" xfId="2" applyNumberFormat="1" applyFont="1" applyFill="1" applyBorder="1" applyAlignment="1">
      <alignment horizontal="center" vertical="center"/>
    </xf>
    <xf numFmtId="164" fontId="5" fillId="3" borderId="1" xfId="2" applyNumberFormat="1" applyFont="1" applyFill="1" applyBorder="1" applyAlignment="1">
      <alignment horizontal="center" vertical="center"/>
    </xf>
    <xf numFmtId="164" fontId="4" fillId="4" borderId="1" xfId="2" applyNumberFormat="1" applyFont="1" applyFill="1" applyBorder="1" applyAlignment="1">
      <alignment horizontal="center" vertical="center"/>
    </xf>
    <xf numFmtId="164" fontId="5" fillId="4" borderId="1" xfId="2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22" xfId="0" applyFill="1" applyBorder="1"/>
    <xf numFmtId="0" fontId="0" fillId="2" borderId="24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164" fontId="0" fillId="2" borderId="43" xfId="2" applyNumberFormat="1" applyFont="1" applyFill="1" applyBorder="1" applyAlignment="1">
      <alignment horizontal="center" vertical="center"/>
    </xf>
    <xf numFmtId="0" fontId="11" fillId="2" borderId="0" xfId="0" applyFont="1" applyFill="1"/>
    <xf numFmtId="0" fontId="11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9" fillId="2" borderId="0" xfId="0" applyFont="1" applyFill="1"/>
    <xf numFmtId="0" fontId="19" fillId="2" borderId="0" xfId="0" applyFont="1" applyFill="1" applyAlignment="1">
      <alignment horizontal="center" vertical="center"/>
    </xf>
    <xf numFmtId="44" fontId="11" fillId="2" borderId="0" xfId="1" applyFont="1" applyFill="1"/>
    <xf numFmtId="10" fontId="11" fillId="2" borderId="0" xfId="0" applyNumberFormat="1" applyFont="1" applyFill="1"/>
    <xf numFmtId="10" fontId="11" fillId="2" borderId="0" xfId="2" applyNumberFormat="1" applyFont="1" applyFill="1"/>
    <xf numFmtId="165" fontId="11" fillId="2" borderId="0" xfId="1" applyNumberFormat="1" applyFont="1" applyFill="1"/>
    <xf numFmtId="164" fontId="16" fillId="2" borderId="43" xfId="2" applyNumberFormat="1" applyFont="1" applyFill="1" applyBorder="1" applyAlignment="1">
      <alignment horizontal="center" vertical="center"/>
    </xf>
    <xf numFmtId="0" fontId="0" fillId="2" borderId="2" xfId="0" quotePrefix="1" applyFill="1" applyBorder="1" applyAlignment="1">
      <alignment horizontal="left"/>
    </xf>
    <xf numFmtId="0" fontId="0" fillId="2" borderId="3" xfId="0" quotePrefix="1" applyFill="1" applyBorder="1" applyAlignment="1">
      <alignment horizontal="left"/>
    </xf>
    <xf numFmtId="0" fontId="0" fillId="2" borderId="35" xfId="0" quotePrefix="1" applyFill="1" applyBorder="1" applyAlignment="1">
      <alignment horizontal="left"/>
    </xf>
    <xf numFmtId="44" fontId="3" fillId="2" borderId="0" xfId="1" applyFont="1" applyFill="1"/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16" fontId="0" fillId="2" borderId="2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2" fillId="2" borderId="35" xfId="0" applyFont="1" applyFill="1" applyBorder="1" applyAlignment="1">
      <alignment horizontal="center"/>
    </xf>
    <xf numFmtId="8" fontId="0" fillId="0" borderId="0" xfId="0" applyNumberFormat="1"/>
    <xf numFmtId="0" fontId="4" fillId="3" borderId="0" xfId="0" applyFont="1" applyFill="1"/>
    <xf numFmtId="0" fontId="4" fillId="0" borderId="0" xfId="0" applyFont="1" applyAlignment="1">
      <alignment horizontal="center"/>
    </xf>
    <xf numFmtId="8" fontId="11" fillId="2" borderId="0" xfId="1" applyNumberFormat="1" applyFont="1" applyFill="1"/>
    <xf numFmtId="10" fontId="0" fillId="2" borderId="1" xfId="2" applyNumberFormat="1" applyFont="1" applyFill="1" applyBorder="1" applyAlignment="1">
      <alignment horizontal="center" vertical="center"/>
    </xf>
    <xf numFmtId="10" fontId="21" fillId="2" borderId="1" xfId="2" applyNumberFormat="1" applyFont="1" applyFill="1" applyBorder="1" applyAlignment="1">
      <alignment horizontal="center" vertical="center"/>
    </xf>
    <xf numFmtId="0" fontId="6" fillId="5" borderId="31" xfId="0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horizontal="center" vertical="center"/>
    </xf>
    <xf numFmtId="0" fontId="6" fillId="5" borderId="33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8" fillId="5" borderId="0" xfId="0" applyFont="1" applyFill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4" fillId="2" borderId="18" xfId="0" applyFont="1" applyFill="1" applyBorder="1" applyAlignment="1">
      <alignment horizontal="left"/>
    </xf>
    <xf numFmtId="0" fontId="4" fillId="2" borderId="19" xfId="0" applyFont="1" applyFill="1" applyBorder="1" applyAlignment="1">
      <alignment horizontal="left"/>
    </xf>
    <xf numFmtId="0" fontId="4" fillId="2" borderId="20" xfId="0" applyFont="1" applyFill="1" applyBorder="1" applyAlignment="1">
      <alignment horizontal="left"/>
    </xf>
    <xf numFmtId="0" fontId="17" fillId="2" borderId="18" xfId="0" applyFont="1" applyFill="1" applyBorder="1" applyAlignment="1">
      <alignment horizontal="left"/>
    </xf>
    <xf numFmtId="0" fontId="17" fillId="2" borderId="19" xfId="0" applyFont="1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9" fillId="2" borderId="30" xfId="0" quotePrefix="1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8" xfId="0" applyFill="1" applyBorder="1" applyAlignment="1">
      <alignment horizontal="left"/>
    </xf>
    <xf numFmtId="0" fontId="4" fillId="2" borderId="26" xfId="0" applyFont="1" applyFill="1" applyBorder="1" applyAlignment="1">
      <alignment horizontal="left"/>
    </xf>
    <xf numFmtId="0" fontId="4" fillId="2" borderId="27" xfId="0" applyFont="1" applyFill="1" applyBorder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left"/>
    </xf>
    <xf numFmtId="16" fontId="0" fillId="2" borderId="2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9" fillId="2" borderId="2" xfId="0" applyFont="1" applyFill="1" applyBorder="1" applyAlignment="1">
      <alignment horizontal="center"/>
    </xf>
    <xf numFmtId="0" fontId="19" fillId="2" borderId="35" xfId="0" applyFont="1" applyFill="1" applyBorder="1" applyAlignment="1">
      <alignment horizontal="center"/>
    </xf>
    <xf numFmtId="0" fontId="12" fillId="2" borderId="35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34" xfId="0" applyFill="1" applyBorder="1" applyAlignment="1">
      <alignment horizontal="left"/>
    </xf>
    <xf numFmtId="0" fontId="0" fillId="2" borderId="2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42" xfId="0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/>
    </xf>
    <xf numFmtId="0" fontId="10" fillId="2" borderId="35" xfId="0" applyFont="1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8" fillId="2" borderId="2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center"/>
    </xf>
    <xf numFmtId="165" fontId="12" fillId="2" borderId="2" xfId="1" applyNumberFormat="1" applyFont="1" applyFill="1" applyBorder="1" applyAlignment="1">
      <alignment horizontal="center"/>
    </xf>
    <xf numFmtId="165" fontId="12" fillId="2" borderId="3" xfId="1" applyNumberFormat="1" applyFont="1" applyFill="1" applyBorder="1" applyAlignment="1">
      <alignment horizontal="center"/>
    </xf>
    <xf numFmtId="165" fontId="12" fillId="2" borderId="4" xfId="1" applyNumberFormat="1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165" fontId="13" fillId="2" borderId="2" xfId="1" applyNumberFormat="1" applyFont="1" applyFill="1" applyBorder="1" applyAlignment="1">
      <alignment horizontal="center"/>
    </xf>
    <xf numFmtId="165" fontId="13" fillId="2" borderId="3" xfId="1" applyNumberFormat="1" applyFont="1" applyFill="1" applyBorder="1" applyAlignment="1">
      <alignment horizontal="center"/>
    </xf>
    <xf numFmtId="165" fontId="13" fillId="2" borderId="4" xfId="1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165" fontId="18" fillId="2" borderId="3" xfId="0" applyNumberFormat="1" applyFont="1" applyFill="1" applyBorder="1" applyAlignment="1">
      <alignment horizontal="center"/>
    </xf>
    <xf numFmtId="10" fontId="14" fillId="2" borderId="39" xfId="2" applyNumberFormat="1" applyFont="1" applyFill="1" applyBorder="1" applyAlignment="1">
      <alignment horizontal="center"/>
    </xf>
    <xf numFmtId="10" fontId="14" fillId="2" borderId="40" xfId="2" applyNumberFormat="1" applyFont="1" applyFill="1" applyBorder="1" applyAlignment="1">
      <alignment horizontal="center"/>
    </xf>
    <xf numFmtId="10" fontId="14" fillId="2" borderId="41" xfId="2" applyNumberFormat="1" applyFont="1" applyFill="1" applyBorder="1" applyAlignment="1">
      <alignment horizontal="center"/>
    </xf>
    <xf numFmtId="10" fontId="15" fillId="2" borderId="39" xfId="2" applyNumberFormat="1" applyFont="1" applyFill="1" applyBorder="1" applyAlignment="1">
      <alignment horizontal="center"/>
    </xf>
    <xf numFmtId="10" fontId="15" fillId="2" borderId="40" xfId="2" applyNumberFormat="1" applyFont="1" applyFill="1" applyBorder="1" applyAlignment="1">
      <alignment horizontal="center"/>
    </xf>
    <xf numFmtId="10" fontId="15" fillId="2" borderId="41" xfId="2" applyNumberFormat="1" applyFont="1" applyFill="1" applyBorder="1" applyAlignment="1">
      <alignment horizontal="center"/>
    </xf>
    <xf numFmtId="0" fontId="0" fillId="2" borderId="2" xfId="0" quotePrefix="1" applyFill="1" applyBorder="1" applyAlignment="1">
      <alignment horizontal="left"/>
    </xf>
    <xf numFmtId="0" fontId="0" fillId="2" borderId="3" xfId="0" quotePrefix="1" applyFill="1" applyBorder="1" applyAlignment="1">
      <alignment horizontal="left"/>
    </xf>
    <xf numFmtId="0" fontId="0" fillId="2" borderId="35" xfId="0" quotePrefix="1" applyFill="1" applyBorder="1" applyAlignment="1">
      <alignment horizontal="left"/>
    </xf>
    <xf numFmtId="0" fontId="0" fillId="2" borderId="45" xfId="0" quotePrefix="1" applyFill="1" applyBorder="1" applyAlignment="1">
      <alignment horizontal="left"/>
    </xf>
    <xf numFmtId="0" fontId="0" fillId="2" borderId="43" xfId="0" applyFill="1" applyBorder="1" applyAlignment="1">
      <alignment horizontal="left"/>
    </xf>
    <xf numFmtId="0" fontId="0" fillId="2" borderId="1" xfId="0" quotePrefix="1" applyFill="1" applyBorder="1" applyAlignment="1">
      <alignment horizontal="left"/>
    </xf>
    <xf numFmtId="0" fontId="0" fillId="2" borderId="9" xfId="0" applyFill="1" applyBorder="1" applyAlignment="1">
      <alignment horizontal="left"/>
    </xf>
    <xf numFmtId="0" fontId="12" fillId="2" borderId="1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0" fillId="2" borderId="45" xfId="0" applyFill="1" applyBorder="1" applyAlignment="1">
      <alignment horizontal="left"/>
    </xf>
    <xf numFmtId="0" fontId="0" fillId="2" borderId="8" xfId="0" quotePrefix="1" applyFill="1" applyBorder="1" applyAlignment="1">
      <alignment horizontal="left"/>
    </xf>
    <xf numFmtId="0" fontId="4" fillId="2" borderId="35" xfId="0" applyFont="1" applyFill="1" applyBorder="1" applyAlignment="1">
      <alignment horizontal="center"/>
    </xf>
    <xf numFmtId="0" fontId="2" fillId="5" borderId="3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4" fillId="3" borderId="46" xfId="0" applyFont="1" applyFill="1" applyBorder="1" applyAlignment="1">
      <alignment horizontal="center"/>
    </xf>
    <xf numFmtId="0" fontId="4" fillId="3" borderId="47" xfId="0" applyFont="1" applyFill="1" applyBorder="1" applyAlignment="1">
      <alignment horizontal="center"/>
    </xf>
    <xf numFmtId="0" fontId="4" fillId="3" borderId="48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12" fillId="2" borderId="45" xfId="0" applyFont="1" applyFill="1" applyBorder="1" applyAlignment="1">
      <alignment horizontal="left"/>
    </xf>
    <xf numFmtId="0" fontId="12" fillId="2" borderId="43" xfId="0" applyFont="1" applyFill="1" applyBorder="1" applyAlignment="1">
      <alignment horizontal="left"/>
    </xf>
    <xf numFmtId="0" fontId="12" fillId="2" borderId="1" xfId="0" applyFont="1" applyFill="1" applyBorder="1" applyAlignment="1">
      <alignment horizontal="center"/>
    </xf>
    <xf numFmtId="16" fontId="11" fillId="2" borderId="1" xfId="0" quotePrefix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16" fontId="16" fillId="2" borderId="2" xfId="0" applyNumberFormat="1" applyFont="1" applyFill="1" applyBorder="1" applyAlignment="1">
      <alignment horizontal="center"/>
    </xf>
    <xf numFmtId="16" fontId="16" fillId="2" borderId="4" xfId="0" applyNumberFormat="1" applyFont="1" applyFill="1" applyBorder="1" applyAlignment="1">
      <alignment horizontal="center"/>
    </xf>
    <xf numFmtId="0" fontId="0" fillId="2" borderId="26" xfId="0" quotePrefix="1" applyFill="1" applyBorder="1" applyAlignment="1">
      <alignment horizontal="left"/>
    </xf>
    <xf numFmtId="0" fontId="0" fillId="2" borderId="27" xfId="0" quotePrefix="1" applyFill="1" applyBorder="1" applyAlignment="1">
      <alignment horizontal="left"/>
    </xf>
    <xf numFmtId="0" fontId="0" fillId="2" borderId="42" xfId="0" quotePrefix="1" applyFill="1" applyBorder="1" applyAlignment="1">
      <alignment horizontal="left"/>
    </xf>
    <xf numFmtId="0" fontId="2" fillId="5" borderId="33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16" fontId="11" fillId="2" borderId="1" xfId="0" applyNumberFormat="1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/>
    </xf>
    <xf numFmtId="10" fontId="20" fillId="2" borderId="39" xfId="0" applyNumberFormat="1" applyFont="1" applyFill="1" applyBorder="1" applyAlignment="1">
      <alignment horizontal="center"/>
    </xf>
    <xf numFmtId="0" fontId="20" fillId="2" borderId="41" xfId="0" applyFont="1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19" xfId="0" applyFont="1" applyFill="1" applyBorder="1" applyAlignment="1">
      <alignment horizontal="center"/>
    </xf>
    <xf numFmtId="0" fontId="4" fillId="3" borderId="21" xfId="0" applyFont="1" applyFill="1" applyBorder="1" applyAlignment="1">
      <alignment horizontal="center"/>
    </xf>
    <xf numFmtId="0" fontId="6" fillId="5" borderId="36" xfId="0" applyFont="1" applyFill="1" applyBorder="1" applyAlignment="1">
      <alignment horizontal="center" vertical="center"/>
    </xf>
    <xf numFmtId="0" fontId="6" fillId="5" borderId="37" xfId="0" applyFont="1" applyFill="1" applyBorder="1" applyAlignment="1">
      <alignment horizontal="center" vertical="center"/>
    </xf>
    <xf numFmtId="0" fontId="6" fillId="5" borderId="38" xfId="0" applyFont="1" applyFill="1" applyBorder="1" applyAlignment="1">
      <alignment horizontal="center" vertical="center"/>
    </xf>
    <xf numFmtId="8" fontId="4" fillId="0" borderId="0" xfId="0" applyNumberFormat="1" applyFont="1"/>
    <xf numFmtId="8" fontId="0" fillId="2" borderId="0" xfId="0" applyNumberFormat="1" applyFill="1"/>
    <xf numFmtId="0" fontId="4" fillId="6" borderId="0" xfId="0" applyFont="1" applyFill="1"/>
    <xf numFmtId="8" fontId="4" fillId="6" borderId="0" xfId="0" applyNumberFormat="1" applyFont="1" applyFill="1"/>
    <xf numFmtId="0" fontId="0" fillId="2" borderId="0" xfId="0" applyFill="1" applyAlignment="1">
      <alignment horizont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9" fontId="4" fillId="2" borderId="1" xfId="2" quotePrefix="1" applyFont="1" applyFill="1" applyBorder="1" applyAlignment="1">
      <alignment horizontal="center" vertical="center" wrapText="1"/>
    </xf>
    <xf numFmtId="9" fontId="0" fillId="2" borderId="0" xfId="2" applyFont="1" applyFill="1" applyAlignment="1">
      <alignment horizontal="center" wrapText="1"/>
    </xf>
    <xf numFmtId="8" fontId="0" fillId="2" borderId="0" xfId="0" applyNumberFormat="1" applyFill="1" applyAlignment="1">
      <alignment horizontal="center" wrapText="1"/>
    </xf>
    <xf numFmtId="8" fontId="4" fillId="3" borderId="0" xfId="0" applyNumberFormat="1" applyFont="1" applyFill="1"/>
    <xf numFmtId="8" fontId="4" fillId="3" borderId="0" xfId="0" applyNumberFormat="1" applyFont="1" applyFill="1" applyAlignment="1">
      <alignment horizontal="center" wrapText="1"/>
    </xf>
    <xf numFmtId="10" fontId="4" fillId="3" borderId="0" xfId="2" applyNumberFormat="1" applyFont="1" applyFill="1" applyAlignment="1">
      <alignment horizontal="center" wrapText="1"/>
    </xf>
    <xf numFmtId="8" fontId="2" fillId="7" borderId="0" xfId="0" applyNumberFormat="1" applyFont="1" applyFill="1"/>
    <xf numFmtId="10" fontId="2" fillId="7" borderId="0" xfId="2" applyNumberFormat="1" applyFont="1" applyFill="1" applyAlignment="1">
      <alignment horizontal="center" wrapText="1"/>
    </xf>
    <xf numFmtId="8" fontId="2" fillId="7" borderId="0" xfId="0" applyNumberFormat="1" applyFont="1" applyFill="1" applyAlignment="1">
      <alignment horizontal="center" wrapText="1"/>
    </xf>
    <xf numFmtId="8" fontId="4" fillId="6" borderId="0" xfId="0" applyNumberFormat="1" applyFont="1" applyFill="1" applyAlignment="1">
      <alignment horizontal="center" wrapText="1"/>
    </xf>
    <xf numFmtId="10" fontId="4" fillId="6" borderId="0" xfId="2" applyNumberFormat="1" applyFont="1" applyFill="1" applyAlignment="1">
      <alignment horizontal="center" wrapText="1"/>
    </xf>
    <xf numFmtId="0" fontId="4" fillId="8" borderId="0" xfId="0" applyFont="1" applyFill="1"/>
    <xf numFmtId="170" fontId="4" fillId="8" borderId="0" xfId="0" applyNumberFormat="1" applyFont="1" applyFill="1"/>
    <xf numFmtId="10" fontId="4" fillId="8" borderId="0" xfId="2" applyNumberFormat="1" applyFont="1" applyFill="1" applyAlignment="1">
      <alignment horizontal="center" wrapText="1"/>
    </xf>
    <xf numFmtId="170" fontId="4" fillId="8" borderId="0" xfId="0" applyNumberFormat="1" applyFont="1" applyFill="1" applyAlignment="1">
      <alignment horizontal="center" wrapText="1"/>
    </xf>
    <xf numFmtId="9" fontId="0" fillId="2" borderId="0" xfId="2" applyNumberFormat="1" applyFont="1" applyFill="1" applyAlignment="1">
      <alignment horizontal="center" wrapText="1"/>
    </xf>
    <xf numFmtId="170" fontId="0" fillId="2" borderId="0" xfId="0" applyNumberFormat="1" applyFill="1" applyAlignment="1">
      <alignment horizontal="center" wrapText="1"/>
    </xf>
    <xf numFmtId="0" fontId="2" fillId="7" borderId="0" xfId="0" applyFont="1" applyFill="1"/>
    <xf numFmtId="8" fontId="0" fillId="0" borderId="0" xfId="1" applyNumberFormat="1" applyFont="1"/>
    <xf numFmtId="10" fontId="16" fillId="2" borderId="1" xfId="2" applyNumberFormat="1" applyFont="1" applyFill="1" applyBorder="1" applyAlignment="1">
      <alignment horizontal="center" vertical="center"/>
    </xf>
    <xf numFmtId="10" fontId="23" fillId="2" borderId="1" xfId="2" applyNumberFormat="1" applyFont="1" applyFill="1" applyBorder="1" applyAlignment="1">
      <alignment horizontal="center" vertical="center"/>
    </xf>
    <xf numFmtId="0" fontId="0" fillId="2" borderId="22" xfId="0" applyFill="1" applyBorder="1" applyAlignment="1"/>
    <xf numFmtId="0" fontId="0" fillId="2" borderId="0" xfId="0" applyFill="1" applyAlignment="1"/>
    <xf numFmtId="0" fontId="0" fillId="2" borderId="24" xfId="0" applyFill="1" applyBorder="1" applyAlignment="1"/>
    <xf numFmtId="0" fontId="22" fillId="2" borderId="22" xfId="0" applyFont="1" applyFill="1" applyBorder="1" applyAlignment="1">
      <alignment vertical="center"/>
    </xf>
    <xf numFmtId="0" fontId="22" fillId="2" borderId="0" xfId="0" applyFont="1" applyFill="1" applyAlignment="1">
      <alignment vertical="center"/>
    </xf>
    <xf numFmtId="0" fontId="22" fillId="2" borderId="24" xfId="0" applyFont="1" applyFill="1" applyBorder="1" applyAlignment="1">
      <alignment vertical="center"/>
    </xf>
    <xf numFmtId="0" fontId="22" fillId="2" borderId="14" xfId="0" applyFont="1" applyFill="1" applyBorder="1" applyAlignment="1">
      <alignment vertical="center"/>
    </xf>
    <xf numFmtId="0" fontId="22" fillId="2" borderId="15" xfId="0" applyFont="1" applyFill="1" applyBorder="1" applyAlignment="1">
      <alignment vertical="center"/>
    </xf>
    <xf numFmtId="0" fontId="22" fillId="2" borderId="16" xfId="0" applyFont="1" applyFill="1" applyBorder="1" applyAlignment="1">
      <alignment vertical="center"/>
    </xf>
    <xf numFmtId="0" fontId="22" fillId="3" borderId="22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2" fillId="3" borderId="24" xfId="0" applyFont="1" applyFill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B0F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547859508257637E-2"/>
          <c:y val="0.17963478974242916"/>
          <c:w val="0.92382892423486096"/>
          <c:h val="0.64073042051514162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REPORTE!$H$38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REPORTE!$H$42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3-4AFF-987C-0A636ADE70B7}"/>
            </c:ext>
          </c:extLst>
        </c:ser>
        <c:ser>
          <c:idx val="0"/>
          <c:order val="1"/>
          <c:tx>
            <c:strRef>
              <c:f>REPORTE!$G$38</c:f>
              <c:strCache>
                <c:ptCount val="1"/>
                <c:pt idx="0">
                  <c:v>PROGRAM.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REPORTE!$G$42</c:f>
              <c:numCache>
                <c:formatCode>0.00%</c:formatCode>
                <c:ptCount val="1"/>
                <c:pt idx="0">
                  <c:v>4.807512127265357E-3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03-4AFF-987C-0A636ADE7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30"/>
        <c:axId val="430576335"/>
        <c:axId val="430576751"/>
      </c:barChart>
      <c:catAx>
        <c:axId val="430576335"/>
        <c:scaling>
          <c:orientation val="minMax"/>
        </c:scaling>
        <c:delete val="1"/>
        <c:axPos val="l"/>
        <c:majorTickMark val="out"/>
        <c:minorTickMark val="none"/>
        <c:tickLblPos val="nextTo"/>
        <c:crossAx val="430576751"/>
        <c:crosses val="autoZero"/>
        <c:auto val="1"/>
        <c:lblAlgn val="ctr"/>
        <c:lblOffset val="100"/>
        <c:noMultiLvlLbl val="0"/>
      </c:catAx>
      <c:valAx>
        <c:axId val="430576751"/>
        <c:scaling>
          <c:orientation val="minMax"/>
          <c:max val="1"/>
          <c:min val="0"/>
        </c:scaling>
        <c:delete val="1"/>
        <c:axPos val="b"/>
        <c:numFmt formatCode="0.00%" sourceLinked="1"/>
        <c:majorTickMark val="out"/>
        <c:minorTickMark val="none"/>
        <c:tickLblPos val="nextTo"/>
        <c:crossAx val="43057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547859508257637E-2"/>
          <c:y val="0.17963478974242916"/>
          <c:w val="0.92382892423486096"/>
          <c:h val="0.64073042051514162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REPORTE!$H$38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REPORTE!$H$43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5-4A70-8D71-DD6211D9C4B4}"/>
            </c:ext>
          </c:extLst>
        </c:ser>
        <c:ser>
          <c:idx val="0"/>
          <c:order val="1"/>
          <c:tx>
            <c:strRef>
              <c:f>REPORTE!$G$38</c:f>
              <c:strCache>
                <c:ptCount val="1"/>
                <c:pt idx="0">
                  <c:v>PROGRAM.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REPORTE!$G$43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A5-4A70-8D71-DD6211D9C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30"/>
        <c:axId val="430576335"/>
        <c:axId val="430576751"/>
      </c:barChart>
      <c:catAx>
        <c:axId val="430576335"/>
        <c:scaling>
          <c:orientation val="minMax"/>
        </c:scaling>
        <c:delete val="1"/>
        <c:axPos val="l"/>
        <c:majorTickMark val="out"/>
        <c:minorTickMark val="none"/>
        <c:tickLblPos val="nextTo"/>
        <c:crossAx val="430576751"/>
        <c:crosses val="autoZero"/>
        <c:auto val="1"/>
        <c:lblAlgn val="ctr"/>
        <c:lblOffset val="100"/>
        <c:noMultiLvlLbl val="0"/>
      </c:catAx>
      <c:valAx>
        <c:axId val="430576751"/>
        <c:scaling>
          <c:orientation val="minMax"/>
          <c:max val="1"/>
          <c:min val="0"/>
        </c:scaling>
        <c:delete val="1"/>
        <c:axPos val="b"/>
        <c:numFmt formatCode="0.00%" sourceLinked="1"/>
        <c:majorTickMark val="out"/>
        <c:minorTickMark val="none"/>
        <c:tickLblPos val="nextTo"/>
        <c:crossAx val="43057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547859508257637E-2"/>
          <c:y val="0.17963478974242916"/>
          <c:w val="0.92382892423486096"/>
          <c:h val="0.64073042051514162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REPORTE!$H$38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REPORTE!$H$45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03-46A2-B8CB-5073A65F3B0C}"/>
            </c:ext>
          </c:extLst>
        </c:ser>
        <c:ser>
          <c:idx val="0"/>
          <c:order val="1"/>
          <c:tx>
            <c:strRef>
              <c:f>REPORTE!$G$38</c:f>
              <c:strCache>
                <c:ptCount val="1"/>
                <c:pt idx="0">
                  <c:v>PROGRAM.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REPORTE!$G$45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03-46A2-B8CB-5073A65F3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30"/>
        <c:axId val="430576335"/>
        <c:axId val="430576751"/>
      </c:barChart>
      <c:catAx>
        <c:axId val="430576335"/>
        <c:scaling>
          <c:orientation val="minMax"/>
        </c:scaling>
        <c:delete val="1"/>
        <c:axPos val="l"/>
        <c:majorTickMark val="out"/>
        <c:minorTickMark val="none"/>
        <c:tickLblPos val="nextTo"/>
        <c:crossAx val="430576751"/>
        <c:crosses val="autoZero"/>
        <c:auto val="1"/>
        <c:lblAlgn val="ctr"/>
        <c:lblOffset val="100"/>
        <c:noMultiLvlLbl val="0"/>
      </c:catAx>
      <c:valAx>
        <c:axId val="430576751"/>
        <c:scaling>
          <c:orientation val="minMax"/>
          <c:max val="1"/>
          <c:min val="0"/>
        </c:scaling>
        <c:delete val="1"/>
        <c:axPos val="b"/>
        <c:numFmt formatCode="0.00%" sourceLinked="1"/>
        <c:majorTickMark val="out"/>
        <c:minorTickMark val="none"/>
        <c:tickLblPos val="nextTo"/>
        <c:crossAx val="43057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AVANCE PROGRAMADO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chemeClr val="accent2"/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C19-41A4-96B1-6880DD3F783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66C-4F33-B486-EDF98B4BD672}"/>
              </c:ext>
            </c:extLst>
          </c:dPt>
          <c:dLbls>
            <c:dLbl>
              <c:idx val="0"/>
              <c:layout>
                <c:manualLayout>
                  <c:x val="0.11187421676558272"/>
                  <c:y val="-0.1128473927248272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C19-41A4-96B1-6880DD3F783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66C-4F33-B486-EDF98B4BD6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REPORTE!$P$100:$Q$100</c:f>
              <c:strCache>
                <c:ptCount val="2"/>
                <c:pt idx="0">
                  <c:v>AVANCE PROG.</c:v>
                </c:pt>
                <c:pt idx="1">
                  <c:v>POR EJECUTAR</c:v>
                </c:pt>
              </c:strCache>
            </c:strRef>
          </c:cat>
          <c:val>
            <c:numRef>
              <c:f>REPORTE!$P$99:$Q$99</c:f>
              <c:numCache>
                <c:formatCode>0.00%</c:formatCode>
                <c:ptCount val="2"/>
                <c:pt idx="0">
                  <c:v>6.2751723457342196E-4</c:v>
                </c:pt>
                <c:pt idx="1">
                  <c:v>0.99937248276542656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C-4F33-B486-EDF98B4BD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7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AVANCE FÍSICO</a:t>
            </a:r>
            <a:r>
              <a:rPr lang="en-US" sz="1200" baseline="0"/>
              <a:t> -</a:t>
            </a:r>
            <a:r>
              <a:rPr lang="en-US" sz="1200"/>
              <a:t> FINANCIERO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REPORTE!$P$103</c:f>
              <c:strCache>
                <c:ptCount val="1"/>
                <c:pt idx="0">
                  <c:v>AVANCE  FÍSICO REAL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0D9-4CB5-8424-C3F6F28E771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D9-4CB5-8424-C3F6F28E7716}"/>
              </c:ext>
            </c:extLst>
          </c:dPt>
          <c:dLbls>
            <c:dLbl>
              <c:idx val="0"/>
              <c:layout>
                <c:manualLayout>
                  <c:x val="0.12160240952780731"/>
                  <c:y val="-7.157893550287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D9-4CB5-8424-C3F6F28E771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0D9-4CB5-8424-C3F6F28E77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REPORTE!$P$105:$Q$105</c:f>
              <c:strCache>
                <c:ptCount val="2"/>
                <c:pt idx="0">
                  <c:v>REAL EJECUTADO</c:v>
                </c:pt>
                <c:pt idx="1">
                  <c:v>POR EJECUTAR</c:v>
                </c:pt>
              </c:strCache>
            </c:strRef>
          </c:cat>
          <c:val>
            <c:numRef>
              <c:f>REPORTE!$P$104:$Q$104</c:f>
              <c:numCache>
                <c:formatCode>0.00%</c:formatCode>
                <c:ptCount val="2"/>
                <c:pt idx="0">
                  <c:v>7.1892658278197876E-4</c:v>
                </c:pt>
                <c:pt idx="1">
                  <c:v>0.99928107341721806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D9-4CB5-8424-C3F6F28E7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7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PROGRAMA FÍSICO FINANCIERO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979919040978602"/>
          <c:y val="8.73600207665685E-2"/>
          <c:w val="0.87184933006810739"/>
          <c:h val="0.83039042901577076"/>
        </c:manualLayout>
      </c:layout>
      <c:lineChart>
        <c:grouping val="standard"/>
        <c:varyColors val="0"/>
        <c:ser>
          <c:idx val="1"/>
          <c:order val="1"/>
          <c:tx>
            <c:strRef>
              <c:f>'CURVA S BASE'!$A$4</c:f>
              <c:strCache>
                <c:ptCount val="1"/>
                <c:pt idx="0">
                  <c:v>ACUMULADO PROGRAMADO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1.1474898264749143E-2"/>
                  <c:y val="-5.56515656932616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57-4DB2-BD11-8C3D05C099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'CURVA S BASE'!$B$1:$AL$1</c:f>
              <c:strCache>
                <c:ptCount val="37"/>
                <c:pt idx="0">
                  <c:v>INICIO</c:v>
                </c:pt>
                <c:pt idx="1">
                  <c:v>SEM 1</c:v>
                </c:pt>
                <c:pt idx="2">
                  <c:v>SEM 2</c:v>
                </c:pt>
                <c:pt idx="3">
                  <c:v>SEM 3</c:v>
                </c:pt>
                <c:pt idx="4">
                  <c:v>SEM 4</c:v>
                </c:pt>
                <c:pt idx="5">
                  <c:v>SEM 5</c:v>
                </c:pt>
                <c:pt idx="6">
                  <c:v>SEM 6</c:v>
                </c:pt>
                <c:pt idx="7">
                  <c:v>SEM 7</c:v>
                </c:pt>
                <c:pt idx="8">
                  <c:v>SEM 8</c:v>
                </c:pt>
                <c:pt idx="9">
                  <c:v>SEM 9</c:v>
                </c:pt>
                <c:pt idx="10">
                  <c:v>SEM 10</c:v>
                </c:pt>
                <c:pt idx="11">
                  <c:v>SEM 11</c:v>
                </c:pt>
                <c:pt idx="12">
                  <c:v>SEM 12</c:v>
                </c:pt>
                <c:pt idx="13">
                  <c:v>SEM 13</c:v>
                </c:pt>
                <c:pt idx="14">
                  <c:v>SEM 14</c:v>
                </c:pt>
                <c:pt idx="15">
                  <c:v>SEM 15</c:v>
                </c:pt>
                <c:pt idx="16">
                  <c:v>SEM 16</c:v>
                </c:pt>
                <c:pt idx="17">
                  <c:v>SEM 17</c:v>
                </c:pt>
                <c:pt idx="18">
                  <c:v>SEM 18</c:v>
                </c:pt>
                <c:pt idx="19">
                  <c:v>SEM 19</c:v>
                </c:pt>
                <c:pt idx="20">
                  <c:v>SEM 20</c:v>
                </c:pt>
                <c:pt idx="21">
                  <c:v>SEM 21</c:v>
                </c:pt>
                <c:pt idx="22">
                  <c:v>SEM 22</c:v>
                </c:pt>
                <c:pt idx="23">
                  <c:v>SEM 23</c:v>
                </c:pt>
                <c:pt idx="24">
                  <c:v>SEM 24</c:v>
                </c:pt>
                <c:pt idx="25">
                  <c:v>SEM 25</c:v>
                </c:pt>
                <c:pt idx="26">
                  <c:v>SEM 26</c:v>
                </c:pt>
                <c:pt idx="27">
                  <c:v>SEM 27</c:v>
                </c:pt>
                <c:pt idx="28">
                  <c:v>SEM 28</c:v>
                </c:pt>
                <c:pt idx="29">
                  <c:v>SEM 29</c:v>
                </c:pt>
                <c:pt idx="30">
                  <c:v>SEM 30</c:v>
                </c:pt>
                <c:pt idx="31">
                  <c:v>SEM 31</c:v>
                </c:pt>
                <c:pt idx="32">
                  <c:v>SEM 32</c:v>
                </c:pt>
                <c:pt idx="33">
                  <c:v>SEM 33</c:v>
                </c:pt>
                <c:pt idx="34">
                  <c:v>SEM 34</c:v>
                </c:pt>
                <c:pt idx="35">
                  <c:v>SEM 35</c:v>
                </c:pt>
                <c:pt idx="36">
                  <c:v>SEM 36</c:v>
                </c:pt>
              </c:strCache>
            </c:strRef>
          </c:cat>
          <c:val>
            <c:numRef>
              <c:f>'CURVA S BASE'!$B$4:$AL$4</c:f>
              <c:numCache>
                <c:formatCode>"$"#,##0.00_);[Red]\("$"#,##0.00\)</c:formatCode>
                <c:ptCount val="37"/>
                <c:pt idx="0">
                  <c:v>0</c:v>
                </c:pt>
                <c:pt idx="1">
                  <c:v>8251.84</c:v>
                </c:pt>
                <c:pt idx="2">
                  <c:v>64843.320000000007</c:v>
                </c:pt>
                <c:pt idx="3">
                  <c:v>202377</c:v>
                </c:pt>
                <c:pt idx="4">
                  <c:v>488813.26</c:v>
                </c:pt>
                <c:pt idx="5">
                  <c:v>914880.81</c:v>
                </c:pt>
                <c:pt idx="6">
                  <c:v>1347878.13</c:v>
                </c:pt>
                <c:pt idx="7">
                  <c:v>1747183.93</c:v>
                </c:pt>
                <c:pt idx="8">
                  <c:v>2034839.5</c:v>
                </c:pt>
                <c:pt idx="9">
                  <c:v>2427329.09</c:v>
                </c:pt>
                <c:pt idx="10">
                  <c:v>2909379.8099999996</c:v>
                </c:pt>
                <c:pt idx="11">
                  <c:v>3377569.4799999995</c:v>
                </c:pt>
                <c:pt idx="12">
                  <c:v>3868461.2099999995</c:v>
                </c:pt>
                <c:pt idx="13">
                  <c:v>4251557.55</c:v>
                </c:pt>
                <c:pt idx="14">
                  <c:v>4621704.82</c:v>
                </c:pt>
                <c:pt idx="15">
                  <c:v>4890321.5100000007</c:v>
                </c:pt>
                <c:pt idx="16">
                  <c:v>5164477.7100000009</c:v>
                </c:pt>
                <c:pt idx="17">
                  <c:v>5371450.1100000013</c:v>
                </c:pt>
                <c:pt idx="18">
                  <c:v>5594467.9400000013</c:v>
                </c:pt>
                <c:pt idx="19">
                  <c:v>5860520.080000001</c:v>
                </c:pt>
                <c:pt idx="20">
                  <c:v>6366784.1500000013</c:v>
                </c:pt>
                <c:pt idx="21">
                  <c:v>7103365.0000000019</c:v>
                </c:pt>
                <c:pt idx="22">
                  <c:v>7929970.450000002</c:v>
                </c:pt>
                <c:pt idx="23">
                  <c:v>8632627.5900000017</c:v>
                </c:pt>
                <c:pt idx="24">
                  <c:v>9285528.3900000025</c:v>
                </c:pt>
                <c:pt idx="25">
                  <c:v>10138646.090000002</c:v>
                </c:pt>
                <c:pt idx="26">
                  <c:v>10955308.690000001</c:v>
                </c:pt>
                <c:pt idx="27">
                  <c:v>11555039.250000002</c:v>
                </c:pt>
                <c:pt idx="28">
                  <c:v>12072192.260000002</c:v>
                </c:pt>
                <c:pt idx="29">
                  <c:v>12513043.930000002</c:v>
                </c:pt>
                <c:pt idx="30">
                  <c:v>12787578.280000001</c:v>
                </c:pt>
                <c:pt idx="31">
                  <c:v>12943818.300000001</c:v>
                </c:pt>
                <c:pt idx="32">
                  <c:v>13059532.82</c:v>
                </c:pt>
                <c:pt idx="33">
                  <c:v>13132880.220000001</c:v>
                </c:pt>
                <c:pt idx="34">
                  <c:v>13170793.520000001</c:v>
                </c:pt>
                <c:pt idx="35">
                  <c:v>13181485.740000002</c:v>
                </c:pt>
                <c:pt idx="36">
                  <c:v>13184120.920000002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A-420D-9128-249A857C6131}"/>
            </c:ext>
          </c:extLst>
        </c:ser>
        <c:ser>
          <c:idx val="2"/>
          <c:order val="2"/>
          <c:tx>
            <c:strRef>
              <c:f>'CURVA S BASE'!$A$7</c:f>
              <c:strCache>
                <c:ptCount val="1"/>
                <c:pt idx="0">
                  <c:v>ACUMULADO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CB57-4DB2-BD11-8C3D05C0995D}"/>
              </c:ext>
            </c:extLst>
          </c:dPt>
          <c:dLbls>
            <c:dLbl>
              <c:idx val="1"/>
              <c:layout>
                <c:manualLayout>
                  <c:x val="1.0040535981655522E-2"/>
                  <c:y val="-8.215231126148139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57-4DB2-BD11-8C3D05C099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'CURVA S BASE'!$B$1:$AL$1</c:f>
              <c:strCache>
                <c:ptCount val="37"/>
                <c:pt idx="0">
                  <c:v>INICIO</c:v>
                </c:pt>
                <c:pt idx="1">
                  <c:v>SEM 1</c:v>
                </c:pt>
                <c:pt idx="2">
                  <c:v>SEM 2</c:v>
                </c:pt>
                <c:pt idx="3">
                  <c:v>SEM 3</c:v>
                </c:pt>
                <c:pt idx="4">
                  <c:v>SEM 4</c:v>
                </c:pt>
                <c:pt idx="5">
                  <c:v>SEM 5</c:v>
                </c:pt>
                <c:pt idx="6">
                  <c:v>SEM 6</c:v>
                </c:pt>
                <c:pt idx="7">
                  <c:v>SEM 7</c:v>
                </c:pt>
                <c:pt idx="8">
                  <c:v>SEM 8</c:v>
                </c:pt>
                <c:pt idx="9">
                  <c:v>SEM 9</c:v>
                </c:pt>
                <c:pt idx="10">
                  <c:v>SEM 10</c:v>
                </c:pt>
                <c:pt idx="11">
                  <c:v>SEM 11</c:v>
                </c:pt>
                <c:pt idx="12">
                  <c:v>SEM 12</c:v>
                </c:pt>
                <c:pt idx="13">
                  <c:v>SEM 13</c:v>
                </c:pt>
                <c:pt idx="14">
                  <c:v>SEM 14</c:v>
                </c:pt>
                <c:pt idx="15">
                  <c:v>SEM 15</c:v>
                </c:pt>
                <c:pt idx="16">
                  <c:v>SEM 16</c:v>
                </c:pt>
                <c:pt idx="17">
                  <c:v>SEM 17</c:v>
                </c:pt>
                <c:pt idx="18">
                  <c:v>SEM 18</c:v>
                </c:pt>
                <c:pt idx="19">
                  <c:v>SEM 19</c:v>
                </c:pt>
                <c:pt idx="20">
                  <c:v>SEM 20</c:v>
                </c:pt>
                <c:pt idx="21">
                  <c:v>SEM 21</c:v>
                </c:pt>
                <c:pt idx="22">
                  <c:v>SEM 22</c:v>
                </c:pt>
                <c:pt idx="23">
                  <c:v>SEM 23</c:v>
                </c:pt>
                <c:pt idx="24">
                  <c:v>SEM 24</c:v>
                </c:pt>
                <c:pt idx="25">
                  <c:v>SEM 25</c:v>
                </c:pt>
                <c:pt idx="26">
                  <c:v>SEM 26</c:v>
                </c:pt>
                <c:pt idx="27">
                  <c:v>SEM 27</c:v>
                </c:pt>
                <c:pt idx="28">
                  <c:v>SEM 28</c:v>
                </c:pt>
                <c:pt idx="29">
                  <c:v>SEM 29</c:v>
                </c:pt>
                <c:pt idx="30">
                  <c:v>SEM 30</c:v>
                </c:pt>
                <c:pt idx="31">
                  <c:v>SEM 31</c:v>
                </c:pt>
                <c:pt idx="32">
                  <c:v>SEM 32</c:v>
                </c:pt>
                <c:pt idx="33">
                  <c:v>SEM 33</c:v>
                </c:pt>
                <c:pt idx="34">
                  <c:v>SEM 34</c:v>
                </c:pt>
                <c:pt idx="35">
                  <c:v>SEM 35</c:v>
                </c:pt>
                <c:pt idx="36">
                  <c:v>SEM 36</c:v>
                </c:pt>
              </c:strCache>
            </c:strRef>
          </c:cat>
          <c:val>
            <c:numRef>
              <c:f>'CURVA S BASE'!$B$7:$C$7</c:f>
              <c:numCache>
                <c:formatCode>"$"#,##0.00_);[Red]\("$"#,##0.00\)</c:formatCode>
                <c:ptCount val="2"/>
                <c:pt idx="0">
                  <c:v>0</c:v>
                </c:pt>
                <c:pt idx="1">
                  <c:v>9478.4149999999991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A-420D-9128-249A857C6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3726000"/>
        <c:axId val="1153724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:tx>
                <c:spPr>
                  <a:ln w="28575" cap="rnd">
                    <a:solidFill>
                      <a:schemeClr val="bg1">
                        <a:lumMod val="8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31"/>
                    <c:layout>
                      <c:manualLayout>
                        <c:x val="-0.11331462036439799"/>
                        <c:y val="-3.1800894681863763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2-7EDE-44BB-A8C9-7DB8DA644E28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bg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MX"/>
                    </a:p>
                  </c:txPr>
                  <c:showLegendKey val="0"/>
                  <c:showVal val="0"/>
                  <c:showCatName val="0"/>
                  <c:showSerName val="0"/>
                  <c:showPercent val="0"/>
                  <c:showBubbleSize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bg1">
                                <a:lumMod val="8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'CURVA S BASE'!$B$1:$AL$1</c15:sqref>
                        </c15:formulaRef>
                      </c:ext>
                    </c:extLst>
                    <c:strCache>
                      <c:ptCount val="37"/>
                      <c:pt idx="0">
                        <c:v>INICIO</c:v>
                      </c:pt>
                      <c:pt idx="1">
                        <c:v>SEM 1</c:v>
                      </c:pt>
                      <c:pt idx="2">
                        <c:v>SEM 2</c:v>
                      </c:pt>
                      <c:pt idx="3">
                        <c:v>SEM 3</c:v>
                      </c:pt>
                      <c:pt idx="4">
                        <c:v>SEM 4</c:v>
                      </c:pt>
                      <c:pt idx="5">
                        <c:v>SEM 5</c:v>
                      </c:pt>
                      <c:pt idx="6">
                        <c:v>SEM 6</c:v>
                      </c:pt>
                      <c:pt idx="7">
                        <c:v>SEM 7</c:v>
                      </c:pt>
                      <c:pt idx="8">
                        <c:v>SEM 8</c:v>
                      </c:pt>
                      <c:pt idx="9">
                        <c:v>SEM 9</c:v>
                      </c:pt>
                      <c:pt idx="10">
                        <c:v>SEM 10</c:v>
                      </c:pt>
                      <c:pt idx="11">
                        <c:v>SEM 11</c:v>
                      </c:pt>
                      <c:pt idx="12">
                        <c:v>SEM 12</c:v>
                      </c:pt>
                      <c:pt idx="13">
                        <c:v>SEM 13</c:v>
                      </c:pt>
                      <c:pt idx="14">
                        <c:v>SEM 14</c:v>
                      </c:pt>
                      <c:pt idx="15">
                        <c:v>SEM 15</c:v>
                      </c:pt>
                      <c:pt idx="16">
                        <c:v>SEM 16</c:v>
                      </c:pt>
                      <c:pt idx="17">
                        <c:v>SEM 17</c:v>
                      </c:pt>
                      <c:pt idx="18">
                        <c:v>SEM 18</c:v>
                      </c:pt>
                      <c:pt idx="19">
                        <c:v>SEM 19</c:v>
                      </c:pt>
                      <c:pt idx="20">
                        <c:v>SEM 20</c:v>
                      </c:pt>
                      <c:pt idx="21">
                        <c:v>SEM 21</c:v>
                      </c:pt>
                      <c:pt idx="22">
                        <c:v>SEM 22</c:v>
                      </c:pt>
                      <c:pt idx="23">
                        <c:v>SEM 23</c:v>
                      </c:pt>
                      <c:pt idx="24">
                        <c:v>SEM 24</c:v>
                      </c:pt>
                      <c:pt idx="25">
                        <c:v>SEM 25</c:v>
                      </c:pt>
                      <c:pt idx="26">
                        <c:v>SEM 26</c:v>
                      </c:pt>
                      <c:pt idx="27">
                        <c:v>SEM 27</c:v>
                      </c:pt>
                      <c:pt idx="28">
                        <c:v>SEM 28</c:v>
                      </c:pt>
                      <c:pt idx="29">
                        <c:v>SEM 29</c:v>
                      </c:pt>
                      <c:pt idx="30">
                        <c:v>SEM 30</c:v>
                      </c:pt>
                      <c:pt idx="31">
                        <c:v>SEM 31</c:v>
                      </c:pt>
                      <c:pt idx="32">
                        <c:v>SEM 32</c:v>
                      </c:pt>
                      <c:pt idx="33">
                        <c:v>SEM 33</c:v>
                      </c:pt>
                      <c:pt idx="34">
                        <c:v>SEM 34</c:v>
                      </c:pt>
                      <c:pt idx="35">
                        <c:v>SEM 35</c:v>
                      </c:pt>
                      <c:pt idx="36">
                        <c:v>SEM 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3A-420D-9128-249A857C6131}"/>
                  </c:ext>
                </c:extLst>
              </c15:ser>
            </c15:filteredLineSeries>
          </c:ext>
        </c:extLst>
      </c:lineChart>
      <c:catAx>
        <c:axId val="1153726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3724560"/>
        <c:crosses val="autoZero"/>
        <c:auto val="1"/>
        <c:lblAlgn val="ctr"/>
        <c:lblOffset val="100"/>
        <c:noMultiLvlLbl val="0"/>
      </c:catAx>
      <c:valAx>
        <c:axId val="11537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372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0699361166662847"/>
          <c:y val="0.12744208543756905"/>
          <c:w val="0.25037200242282992"/>
          <c:h val="0.14542315430653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547859508257637E-2"/>
          <c:y val="0.17963478974242916"/>
          <c:w val="0.92382892423486096"/>
          <c:h val="0.64073042051514162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REPORTE!$H$38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REPORTE!$H$44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10-48CA-9986-4A1EDD6AD932}"/>
            </c:ext>
          </c:extLst>
        </c:ser>
        <c:ser>
          <c:idx val="0"/>
          <c:order val="1"/>
          <c:tx>
            <c:strRef>
              <c:f>REPORTE!$G$38</c:f>
              <c:strCache>
                <c:ptCount val="1"/>
                <c:pt idx="0">
                  <c:v>PROGRAM.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REPORTE!$G$44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10-48CA-9986-4A1EDD6AD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30"/>
        <c:axId val="430576335"/>
        <c:axId val="430576751"/>
      </c:barChart>
      <c:catAx>
        <c:axId val="430576335"/>
        <c:scaling>
          <c:orientation val="minMax"/>
        </c:scaling>
        <c:delete val="1"/>
        <c:axPos val="l"/>
        <c:majorTickMark val="out"/>
        <c:minorTickMark val="none"/>
        <c:tickLblPos val="nextTo"/>
        <c:crossAx val="430576751"/>
        <c:crosses val="autoZero"/>
        <c:auto val="1"/>
        <c:lblAlgn val="ctr"/>
        <c:lblOffset val="100"/>
        <c:noMultiLvlLbl val="0"/>
      </c:catAx>
      <c:valAx>
        <c:axId val="430576751"/>
        <c:scaling>
          <c:orientation val="minMax"/>
          <c:max val="1"/>
          <c:min val="0"/>
        </c:scaling>
        <c:delete val="1"/>
        <c:axPos val="b"/>
        <c:numFmt formatCode="0.00%" sourceLinked="1"/>
        <c:majorTickMark val="out"/>
        <c:minorTickMark val="none"/>
        <c:tickLblPos val="nextTo"/>
        <c:crossAx val="43057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547859508257637E-2"/>
          <c:y val="0.17963478974242916"/>
          <c:w val="0.92382892423486096"/>
          <c:h val="0.64073042051514162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REPORTE!$H$38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REPORTE!$H$46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D-4ACC-8666-378CA71F5FFA}"/>
            </c:ext>
          </c:extLst>
        </c:ser>
        <c:ser>
          <c:idx val="0"/>
          <c:order val="1"/>
          <c:tx>
            <c:strRef>
              <c:f>REPORTE!$G$38</c:f>
              <c:strCache>
                <c:ptCount val="1"/>
                <c:pt idx="0">
                  <c:v>PROGRAM.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REPORTE!$G$46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D-4ACC-8666-378CA71F5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30"/>
        <c:axId val="430576335"/>
        <c:axId val="430576751"/>
      </c:barChart>
      <c:catAx>
        <c:axId val="430576335"/>
        <c:scaling>
          <c:orientation val="minMax"/>
        </c:scaling>
        <c:delete val="1"/>
        <c:axPos val="l"/>
        <c:majorTickMark val="out"/>
        <c:minorTickMark val="none"/>
        <c:tickLblPos val="nextTo"/>
        <c:crossAx val="430576751"/>
        <c:crosses val="autoZero"/>
        <c:auto val="1"/>
        <c:lblAlgn val="ctr"/>
        <c:lblOffset val="100"/>
        <c:noMultiLvlLbl val="0"/>
      </c:catAx>
      <c:valAx>
        <c:axId val="430576751"/>
        <c:scaling>
          <c:orientation val="minMax"/>
          <c:max val="1"/>
          <c:min val="0"/>
        </c:scaling>
        <c:delete val="1"/>
        <c:axPos val="b"/>
        <c:numFmt formatCode="0.00%" sourceLinked="1"/>
        <c:majorTickMark val="out"/>
        <c:minorTickMark val="none"/>
        <c:tickLblPos val="nextTo"/>
        <c:crossAx val="43057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547859508257637E-2"/>
          <c:y val="0.17963478974242916"/>
          <c:w val="0.92382892423486096"/>
          <c:h val="0.64073042051514162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REPORTE!$H$38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REPORTE!$H$47</c:f>
              <c:numCache>
                <c:formatCode>0.00%</c:formatCode>
                <c:ptCount val="1"/>
                <c:pt idx="0">
                  <c:v>5.5078140884645462E-3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7-491D-93EC-4FF98BDD0BCC}"/>
            </c:ext>
          </c:extLst>
        </c:ser>
        <c:ser>
          <c:idx val="0"/>
          <c:order val="1"/>
          <c:tx>
            <c:strRef>
              <c:f>REPORTE!$G$38</c:f>
              <c:strCache>
                <c:ptCount val="1"/>
                <c:pt idx="0">
                  <c:v>PROGRAM.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REPORTE!$G$47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27-491D-93EC-4FF98BDD0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30"/>
        <c:axId val="430576335"/>
        <c:axId val="430576751"/>
      </c:barChart>
      <c:catAx>
        <c:axId val="430576335"/>
        <c:scaling>
          <c:orientation val="minMax"/>
        </c:scaling>
        <c:delete val="1"/>
        <c:axPos val="l"/>
        <c:majorTickMark val="out"/>
        <c:minorTickMark val="none"/>
        <c:tickLblPos val="nextTo"/>
        <c:crossAx val="430576751"/>
        <c:crosses val="autoZero"/>
        <c:auto val="1"/>
        <c:lblAlgn val="ctr"/>
        <c:lblOffset val="100"/>
        <c:noMultiLvlLbl val="0"/>
      </c:catAx>
      <c:valAx>
        <c:axId val="430576751"/>
        <c:scaling>
          <c:orientation val="minMax"/>
          <c:max val="1"/>
          <c:min val="0"/>
        </c:scaling>
        <c:delete val="1"/>
        <c:axPos val="b"/>
        <c:numFmt formatCode="0.00%" sourceLinked="1"/>
        <c:majorTickMark val="out"/>
        <c:minorTickMark val="none"/>
        <c:tickLblPos val="nextTo"/>
        <c:crossAx val="43057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9.xml"/><Relationship Id="rId5" Type="http://schemas.openxmlformats.org/officeDocument/2006/relationships/chart" Target="../charts/chart5.xml"/><Relationship Id="rId10" Type="http://schemas.openxmlformats.org/officeDocument/2006/relationships/chart" Target="../charts/chart8.xml"/><Relationship Id="rId4" Type="http://schemas.openxmlformats.org/officeDocument/2006/relationships/chart" Target="../charts/chart4.xml"/><Relationship Id="rId9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19706</xdr:colOff>
      <xdr:row>41</xdr:row>
      <xdr:rowOff>39414</xdr:rowOff>
    </xdr:from>
    <xdr:to>
      <xdr:col>12</xdr:col>
      <xdr:colOff>722586</xdr:colOff>
      <xdr:row>41</xdr:row>
      <xdr:rowOff>302172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2E9D7BA-6866-41CC-9245-353A344F2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19706</xdr:colOff>
      <xdr:row>42</xdr:row>
      <xdr:rowOff>39414</xdr:rowOff>
    </xdr:from>
    <xdr:to>
      <xdr:col>12</xdr:col>
      <xdr:colOff>722586</xdr:colOff>
      <xdr:row>42</xdr:row>
      <xdr:rowOff>302172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D792FBC0-1CBE-46D0-8502-8564C8011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19706</xdr:colOff>
      <xdr:row>44</xdr:row>
      <xdr:rowOff>39414</xdr:rowOff>
    </xdr:from>
    <xdr:to>
      <xdr:col>12</xdr:col>
      <xdr:colOff>722586</xdr:colOff>
      <xdr:row>44</xdr:row>
      <xdr:rowOff>302172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A3EDEB6-5191-4330-896D-8617774028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306666</xdr:colOff>
      <xdr:row>95</xdr:row>
      <xdr:rowOff>16694</xdr:rowOff>
    </xdr:from>
    <xdr:to>
      <xdr:col>5</xdr:col>
      <xdr:colOff>631634</xdr:colOff>
      <xdr:row>106</xdr:row>
      <xdr:rowOff>76200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749AE2B3-0CAC-3E4B-B2A8-8E864E67AA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207835</xdr:colOff>
      <xdr:row>95</xdr:row>
      <xdr:rowOff>21360</xdr:rowOff>
    </xdr:from>
    <xdr:to>
      <xdr:col>9</xdr:col>
      <xdr:colOff>532803</xdr:colOff>
      <xdr:row>106</xdr:row>
      <xdr:rowOff>38099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71013979-0A48-4983-89C3-DD9C18549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82825</xdr:colOff>
      <xdr:row>66</xdr:row>
      <xdr:rowOff>77856</xdr:rowOff>
    </xdr:from>
    <xdr:to>
      <xdr:col>12</xdr:col>
      <xdr:colOff>554934</xdr:colOff>
      <xdr:row>91</xdr:row>
      <xdr:rowOff>107674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7251E4D-A534-C536-E752-9905BADDE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620436</xdr:colOff>
      <xdr:row>68</xdr:row>
      <xdr:rowOff>90261</xdr:rowOff>
    </xdr:from>
    <xdr:to>
      <xdr:col>2</xdr:col>
      <xdr:colOff>620436</xdr:colOff>
      <xdr:row>89</xdr:row>
      <xdr:rowOff>90295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E6F1E860-A932-44D0-B3F0-0A3F3A9E75E0}"/>
            </a:ext>
          </a:extLst>
        </xdr:cNvPr>
        <xdr:cNvCxnSpPr/>
      </xdr:nvCxnSpPr>
      <xdr:spPr>
        <a:xfrm flipV="1">
          <a:off x="1698265" y="16052156"/>
          <a:ext cx="0" cy="4000534"/>
        </a:xfrm>
        <a:prstGeom prst="line">
          <a:avLst/>
        </a:prstGeom>
        <a:ln w="28575">
          <a:solidFill>
            <a:schemeClr val="bg1">
              <a:lumMod val="85000"/>
            </a:schemeClr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19706</xdr:colOff>
      <xdr:row>43</xdr:row>
      <xdr:rowOff>39414</xdr:rowOff>
    </xdr:from>
    <xdr:to>
      <xdr:col>12</xdr:col>
      <xdr:colOff>722586</xdr:colOff>
      <xdr:row>43</xdr:row>
      <xdr:rowOff>302172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550E5BC6-007F-49B4-84A6-FF3F60F77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122467</xdr:colOff>
      <xdr:row>4</xdr:row>
      <xdr:rowOff>54429</xdr:rowOff>
    </xdr:from>
    <xdr:to>
      <xdr:col>3</xdr:col>
      <xdr:colOff>668347</xdr:colOff>
      <xdr:row>7</xdr:row>
      <xdr:rowOff>176893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ECF02BE-929B-5FF3-DADA-C5A9BD2648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972" b="24752"/>
        <a:stretch>
          <a:fillRect/>
        </a:stretch>
      </xdr:blipFill>
      <xdr:spPr>
        <a:xfrm>
          <a:off x="435431" y="830036"/>
          <a:ext cx="2069880" cy="707571"/>
        </a:xfrm>
        <a:prstGeom prst="rect">
          <a:avLst/>
        </a:prstGeom>
      </xdr:spPr>
    </xdr:pic>
    <xdr:clientData/>
  </xdr:twoCellAnchor>
  <xdr:oneCellAnchor>
    <xdr:from>
      <xdr:col>1</xdr:col>
      <xdr:colOff>122467</xdr:colOff>
      <xdr:row>60</xdr:row>
      <xdr:rowOff>54429</xdr:rowOff>
    </xdr:from>
    <xdr:ext cx="2069880" cy="705170"/>
    <xdr:pic>
      <xdr:nvPicPr>
        <xdr:cNvPr id="10" name="Imagen 9">
          <a:extLst>
            <a:ext uri="{FF2B5EF4-FFF2-40B4-BE49-F238E27FC236}">
              <a16:creationId xmlns:a16="http://schemas.microsoft.com/office/drawing/2014/main" id="{5D562918-E8C9-4873-91C6-8DD89360C2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972" b="24752"/>
        <a:stretch>
          <a:fillRect/>
        </a:stretch>
      </xdr:blipFill>
      <xdr:spPr>
        <a:xfrm>
          <a:off x="436232" y="827635"/>
          <a:ext cx="2069880" cy="705170"/>
        </a:xfrm>
        <a:prstGeom prst="rect">
          <a:avLst/>
        </a:prstGeom>
      </xdr:spPr>
    </xdr:pic>
    <xdr:clientData/>
  </xdr:oneCellAnchor>
  <xdr:oneCellAnchor>
    <xdr:from>
      <xdr:col>1</xdr:col>
      <xdr:colOff>122467</xdr:colOff>
      <xdr:row>131</xdr:row>
      <xdr:rowOff>54429</xdr:rowOff>
    </xdr:from>
    <xdr:ext cx="2069880" cy="705170"/>
    <xdr:pic>
      <xdr:nvPicPr>
        <xdr:cNvPr id="25" name="Imagen 24">
          <a:extLst>
            <a:ext uri="{FF2B5EF4-FFF2-40B4-BE49-F238E27FC236}">
              <a16:creationId xmlns:a16="http://schemas.microsoft.com/office/drawing/2014/main" id="{3424CF0B-8BBF-4041-BA4C-D9C1998DF7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972" b="24752"/>
        <a:stretch>
          <a:fillRect/>
        </a:stretch>
      </xdr:blipFill>
      <xdr:spPr>
        <a:xfrm>
          <a:off x="436232" y="827635"/>
          <a:ext cx="2069880" cy="705170"/>
        </a:xfrm>
        <a:prstGeom prst="rect">
          <a:avLst/>
        </a:prstGeom>
      </xdr:spPr>
    </xdr:pic>
    <xdr:clientData/>
  </xdr:oneCellAnchor>
  <xdr:oneCellAnchor>
    <xdr:from>
      <xdr:col>1</xdr:col>
      <xdr:colOff>122467</xdr:colOff>
      <xdr:row>202</xdr:row>
      <xdr:rowOff>54429</xdr:rowOff>
    </xdr:from>
    <xdr:ext cx="2069880" cy="705170"/>
    <xdr:pic>
      <xdr:nvPicPr>
        <xdr:cNvPr id="28" name="Imagen 27">
          <a:extLst>
            <a:ext uri="{FF2B5EF4-FFF2-40B4-BE49-F238E27FC236}">
              <a16:creationId xmlns:a16="http://schemas.microsoft.com/office/drawing/2014/main" id="{42859C68-EF24-45E3-B3C2-65C46FF936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972" b="24752"/>
        <a:stretch>
          <a:fillRect/>
        </a:stretch>
      </xdr:blipFill>
      <xdr:spPr>
        <a:xfrm>
          <a:off x="436232" y="28035517"/>
          <a:ext cx="2069880" cy="705170"/>
        </a:xfrm>
        <a:prstGeom prst="rect">
          <a:avLst/>
        </a:prstGeom>
      </xdr:spPr>
    </xdr:pic>
    <xdr:clientData/>
  </xdr:oneCellAnchor>
  <xdr:twoCellAnchor>
    <xdr:from>
      <xdr:col>9</xdr:col>
      <xdr:colOff>19706</xdr:colOff>
      <xdr:row>45</xdr:row>
      <xdr:rowOff>39414</xdr:rowOff>
    </xdr:from>
    <xdr:to>
      <xdr:col>12</xdr:col>
      <xdr:colOff>722586</xdr:colOff>
      <xdr:row>45</xdr:row>
      <xdr:rowOff>302172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106782CC-CA9A-4583-BA48-FEEC56D3B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19706</xdr:colOff>
      <xdr:row>46</xdr:row>
      <xdr:rowOff>39414</xdr:rowOff>
    </xdr:from>
    <xdr:to>
      <xdr:col>12</xdr:col>
      <xdr:colOff>722586</xdr:colOff>
      <xdr:row>46</xdr:row>
      <xdr:rowOff>302172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9F2C3185-4CB6-484A-8ABE-A3BBE5A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</xdr:col>
      <xdr:colOff>122467</xdr:colOff>
      <xdr:row>273</xdr:row>
      <xdr:rowOff>54429</xdr:rowOff>
    </xdr:from>
    <xdr:ext cx="2069880" cy="705170"/>
    <xdr:pic>
      <xdr:nvPicPr>
        <xdr:cNvPr id="49" name="Imagen 48">
          <a:extLst>
            <a:ext uri="{FF2B5EF4-FFF2-40B4-BE49-F238E27FC236}">
              <a16:creationId xmlns:a16="http://schemas.microsoft.com/office/drawing/2014/main" id="{FF41BAB4-AC4B-4F9D-9D04-8D4B79EB44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972" b="24752"/>
        <a:stretch>
          <a:fillRect/>
        </a:stretch>
      </xdr:blipFill>
      <xdr:spPr>
        <a:xfrm>
          <a:off x="394610" y="41801143"/>
          <a:ext cx="2069880" cy="70517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1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BA1EE2-4FEF-4D1C-B291-7A61887CFB3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47f5e72-75e0-403b-ad92-8e447cbc896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7940A-112D-42E8-A0FC-ACDFB5A405E1}">
  <dimension ref="B2:W340"/>
  <sheetViews>
    <sheetView tabSelected="1" view="pageBreakPreview" topLeftCell="A281" zoomScale="55" zoomScaleNormal="115" zoomScaleSheetLayoutView="55" workbookViewId="0">
      <selection activeCell="V272" sqref="V272"/>
    </sheetView>
  </sheetViews>
  <sheetFormatPr baseColWidth="10" defaultRowHeight="15" x14ac:dyDescent="0.25"/>
  <cols>
    <col min="1" max="1" width="4.140625" style="1" customWidth="1"/>
    <col min="2" max="13" width="11.42578125" style="1"/>
    <col min="14" max="14" width="3.7109375" style="1" customWidth="1"/>
    <col min="15" max="15" width="11.42578125" style="27"/>
    <col min="16" max="16" width="16.140625" style="27" bestFit="1" customWidth="1"/>
    <col min="17" max="17" width="11.42578125" style="27"/>
    <col min="18" max="18" width="16.140625" style="27" bestFit="1" customWidth="1"/>
    <col min="19" max="19" width="11.42578125" style="31"/>
    <col min="20" max="23" width="11.42578125" style="27"/>
    <col min="24" max="16384" width="11.42578125" style="1"/>
  </cols>
  <sheetData>
    <row r="2" spans="2:13" x14ac:dyDescent="0.25">
      <c r="B2" s="61" t="s">
        <v>6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</row>
    <row r="3" spans="2:13" x14ac:dyDescent="0.25"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</row>
    <row r="4" spans="2:13" ht="15.75" thickBot="1" x14ac:dyDescent="0.3"/>
    <row r="5" spans="2:13" ht="15.75" x14ac:dyDescent="0.25">
      <c r="B5" s="62"/>
      <c r="C5" s="63"/>
      <c r="D5" s="64"/>
      <c r="E5" s="69" t="s">
        <v>7</v>
      </c>
      <c r="F5" s="70"/>
      <c r="G5" s="71"/>
      <c r="H5" s="72" t="s">
        <v>435</v>
      </c>
      <c r="I5" s="73"/>
      <c r="J5" s="73"/>
      <c r="K5" s="73"/>
      <c r="L5" s="74" t="s">
        <v>19</v>
      </c>
      <c r="M5" s="75"/>
    </row>
    <row r="6" spans="2:13" x14ac:dyDescent="0.25">
      <c r="B6" s="59"/>
      <c r="C6" s="60"/>
      <c r="D6" s="65"/>
      <c r="E6" s="76" t="s">
        <v>8</v>
      </c>
      <c r="F6" s="77"/>
      <c r="G6" s="78"/>
      <c r="H6" s="79" t="s">
        <v>11</v>
      </c>
      <c r="I6" s="80"/>
      <c r="J6" s="80"/>
      <c r="K6" s="80"/>
      <c r="L6" s="81" t="s">
        <v>59</v>
      </c>
      <c r="M6" s="82"/>
    </row>
    <row r="7" spans="2:13" x14ac:dyDescent="0.25">
      <c r="B7" s="59"/>
      <c r="C7" s="60"/>
      <c r="D7" s="65"/>
      <c r="E7" s="76" t="s">
        <v>10</v>
      </c>
      <c r="F7" s="77"/>
      <c r="G7" s="78"/>
      <c r="H7" s="79" t="s">
        <v>12</v>
      </c>
      <c r="I7" s="80"/>
      <c r="J7" s="80"/>
      <c r="K7" s="80"/>
      <c r="L7" s="83"/>
      <c r="M7" s="84"/>
    </row>
    <row r="8" spans="2:13" ht="15.75" thickBot="1" x14ac:dyDescent="0.3">
      <c r="B8" s="66"/>
      <c r="C8" s="67"/>
      <c r="D8" s="68"/>
      <c r="E8" s="87" t="s">
        <v>9</v>
      </c>
      <c r="F8" s="88"/>
      <c r="G8" s="89"/>
      <c r="H8" s="90" t="s">
        <v>60</v>
      </c>
      <c r="I8" s="91"/>
      <c r="J8" s="91"/>
      <c r="K8" s="91"/>
      <c r="L8" s="85"/>
      <c r="M8" s="86"/>
    </row>
    <row r="9" spans="2:13" ht="15.75" thickBot="1" x14ac:dyDescent="0.3"/>
    <row r="10" spans="2:13" ht="21" customHeight="1" x14ac:dyDescent="0.25">
      <c r="B10" s="56" t="s">
        <v>5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2:13" x14ac:dyDescent="0.25">
      <c r="B11" s="113" t="s">
        <v>61</v>
      </c>
      <c r="C11" s="114"/>
      <c r="D11" s="114"/>
      <c r="E11" s="114"/>
      <c r="F11" s="114"/>
      <c r="G11" s="114"/>
      <c r="H11" s="114" t="s">
        <v>62</v>
      </c>
      <c r="I11" s="114"/>
      <c r="J11" s="114"/>
      <c r="K11" s="114"/>
      <c r="L11" s="114"/>
      <c r="M11" s="115"/>
    </row>
    <row r="12" spans="2:13" x14ac:dyDescent="0.25"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47"/>
    </row>
    <row r="13" spans="2:13" x14ac:dyDescent="0.25">
      <c r="B13" s="144"/>
      <c r="C13" s="145"/>
      <c r="D13" s="145"/>
      <c r="E13" s="145"/>
      <c r="F13" s="145"/>
      <c r="G13" s="145"/>
      <c r="H13" s="146"/>
      <c r="I13" s="103"/>
      <c r="J13" s="103"/>
      <c r="K13" s="103"/>
      <c r="L13" s="103"/>
      <c r="M13" s="147"/>
    </row>
    <row r="14" spans="2:13" x14ac:dyDescent="0.25">
      <c r="B14" s="144"/>
      <c r="C14" s="145"/>
      <c r="D14" s="145"/>
      <c r="E14" s="145"/>
      <c r="F14" s="145"/>
      <c r="G14" s="145"/>
      <c r="H14" s="146"/>
      <c r="I14" s="103"/>
      <c r="J14" s="103"/>
      <c r="K14" s="103"/>
      <c r="L14" s="103"/>
      <c r="M14" s="147"/>
    </row>
    <row r="15" spans="2:13" x14ac:dyDescent="0.25">
      <c r="B15" s="144"/>
      <c r="C15" s="145"/>
      <c r="D15" s="145"/>
      <c r="E15" s="145"/>
      <c r="F15" s="145"/>
      <c r="G15" s="145"/>
      <c r="H15" s="146"/>
      <c r="I15" s="103"/>
      <c r="J15" s="103"/>
      <c r="K15" s="103"/>
      <c r="L15" s="103"/>
      <c r="M15" s="147"/>
    </row>
    <row r="16" spans="2:13" x14ac:dyDescent="0.25">
      <c r="B16" s="144"/>
      <c r="C16" s="145"/>
      <c r="D16" s="145"/>
      <c r="E16" s="145"/>
      <c r="F16" s="145"/>
      <c r="G16" s="145"/>
      <c r="H16" s="141"/>
      <c r="I16" s="142"/>
      <c r="J16" s="142"/>
      <c r="K16" s="142"/>
      <c r="L16" s="142"/>
      <c r="M16" s="143"/>
    </row>
    <row r="17" spans="2:13" x14ac:dyDescent="0.25">
      <c r="B17" s="144"/>
      <c r="C17" s="145"/>
      <c r="D17" s="145"/>
      <c r="E17" s="145"/>
      <c r="F17" s="145"/>
      <c r="G17" s="145"/>
      <c r="H17" s="141"/>
      <c r="I17" s="142"/>
      <c r="J17" s="142"/>
      <c r="K17" s="142"/>
      <c r="L17" s="142"/>
      <c r="M17" s="143"/>
    </row>
    <row r="18" spans="2:13" x14ac:dyDescent="0.25">
      <c r="B18" s="144"/>
      <c r="C18" s="145"/>
      <c r="D18" s="145"/>
      <c r="E18" s="145"/>
      <c r="F18" s="145"/>
      <c r="G18" s="145"/>
      <c r="H18" s="146"/>
      <c r="I18" s="103"/>
      <c r="J18" s="103"/>
      <c r="K18" s="103"/>
      <c r="L18" s="103"/>
      <c r="M18" s="147"/>
    </row>
    <row r="19" spans="2:13" x14ac:dyDescent="0.25">
      <c r="B19" s="144"/>
      <c r="C19" s="145"/>
      <c r="D19" s="145"/>
      <c r="E19" s="145"/>
      <c r="F19" s="145"/>
      <c r="G19" s="145"/>
      <c r="H19" s="141"/>
      <c r="I19" s="142"/>
      <c r="J19" s="142"/>
      <c r="K19" s="142"/>
      <c r="L19" s="142"/>
      <c r="M19" s="143"/>
    </row>
    <row r="20" spans="2:13" x14ac:dyDescent="0.25">
      <c r="B20" s="144"/>
      <c r="C20" s="145"/>
      <c r="D20" s="145"/>
      <c r="E20" s="145"/>
      <c r="F20" s="145"/>
      <c r="G20" s="145"/>
      <c r="H20" s="38"/>
      <c r="I20" s="39"/>
      <c r="J20" s="39"/>
      <c r="K20" s="39"/>
      <c r="L20" s="39"/>
      <c r="M20" s="40"/>
    </row>
    <row r="21" spans="2:13" x14ac:dyDescent="0.25">
      <c r="B21" s="144"/>
      <c r="C21" s="145"/>
      <c r="D21" s="145"/>
      <c r="E21" s="145"/>
      <c r="F21" s="145"/>
      <c r="G21" s="145"/>
      <c r="M21" s="17"/>
    </row>
    <row r="22" spans="2:13" x14ac:dyDescent="0.25">
      <c r="B22" s="151"/>
      <c r="C22" s="103"/>
      <c r="D22" s="103"/>
      <c r="E22" s="103"/>
      <c r="F22" s="103"/>
      <c r="G22" s="103"/>
      <c r="H22" s="146"/>
      <c r="I22" s="103"/>
      <c r="J22" s="103"/>
      <c r="K22" s="103"/>
      <c r="L22" s="103"/>
      <c r="M22" s="147"/>
    </row>
    <row r="23" spans="2:13" x14ac:dyDescent="0.25">
      <c r="B23" s="151"/>
      <c r="C23" s="103"/>
      <c r="D23" s="103"/>
      <c r="E23" s="103"/>
      <c r="F23" s="103"/>
      <c r="G23" s="103"/>
      <c r="H23" s="146"/>
      <c r="I23" s="103"/>
      <c r="J23" s="103"/>
      <c r="K23" s="103"/>
      <c r="L23" s="103"/>
      <c r="M23" s="147"/>
    </row>
    <row r="24" spans="2:13" x14ac:dyDescent="0.25">
      <c r="B24" s="151"/>
      <c r="C24" s="103"/>
      <c r="D24" s="103"/>
      <c r="E24" s="103"/>
      <c r="F24" s="103"/>
      <c r="G24" s="103"/>
      <c r="H24" s="146"/>
      <c r="I24" s="103"/>
      <c r="J24" s="103"/>
      <c r="K24" s="103"/>
      <c r="L24" s="103"/>
      <c r="M24" s="147"/>
    </row>
    <row r="25" spans="2:13" x14ac:dyDescent="0.25">
      <c r="B25" s="151"/>
      <c r="C25" s="103"/>
      <c r="D25" s="103"/>
      <c r="E25" s="103"/>
      <c r="F25" s="103"/>
      <c r="G25" s="103"/>
      <c r="H25" s="146" t="s">
        <v>58</v>
      </c>
      <c r="I25" s="103"/>
      <c r="J25" s="103"/>
      <c r="K25" s="103"/>
      <c r="L25" s="103"/>
      <c r="M25" s="147"/>
    </row>
    <row r="26" spans="2:13" x14ac:dyDescent="0.25">
      <c r="B26" s="151"/>
      <c r="C26" s="103"/>
      <c r="D26" s="103"/>
      <c r="E26" s="103"/>
      <c r="F26" s="103"/>
      <c r="G26" s="103"/>
      <c r="H26" s="146"/>
      <c r="I26" s="103"/>
      <c r="J26" s="103"/>
      <c r="K26" s="103"/>
      <c r="L26" s="103"/>
      <c r="M26" s="147"/>
    </row>
    <row r="27" spans="2:13" ht="15.75" thickBot="1" x14ac:dyDescent="0.3">
      <c r="B27" s="108"/>
      <c r="C27" s="88"/>
      <c r="D27" s="88"/>
      <c r="E27" s="88"/>
      <c r="F27" s="88"/>
      <c r="G27" s="89"/>
      <c r="H27" s="168"/>
      <c r="I27" s="169"/>
      <c r="J27" s="169"/>
      <c r="K27" s="169"/>
      <c r="L27" s="169"/>
      <c r="M27" s="170"/>
    </row>
    <row r="28" spans="2:13" ht="15.75" thickBot="1" x14ac:dyDescent="0.3"/>
    <row r="29" spans="2:13" ht="25.5" customHeight="1" x14ac:dyDescent="0.25">
      <c r="B29" s="172" t="s">
        <v>17</v>
      </c>
      <c r="C29" s="153"/>
      <c r="D29" s="153"/>
      <c r="E29" s="153"/>
      <c r="F29" s="153"/>
      <c r="G29" s="153"/>
      <c r="H29" s="153" t="s">
        <v>14</v>
      </c>
      <c r="I29" s="153"/>
      <c r="J29" s="153" t="s">
        <v>15</v>
      </c>
      <c r="K29" s="153"/>
      <c r="L29" s="153" t="s">
        <v>16</v>
      </c>
      <c r="M29" s="171"/>
    </row>
    <row r="30" spans="2:13" x14ac:dyDescent="0.25">
      <c r="B30" s="94"/>
      <c r="C30" s="77"/>
      <c r="D30" s="77"/>
      <c r="E30" s="77"/>
      <c r="F30" s="77"/>
      <c r="G30" s="78"/>
      <c r="H30" s="122"/>
      <c r="I30" s="123"/>
      <c r="J30" s="166"/>
      <c r="K30" s="167"/>
      <c r="L30" s="104"/>
      <c r="M30" s="152"/>
    </row>
    <row r="31" spans="2:13" x14ac:dyDescent="0.25">
      <c r="B31" s="161"/>
      <c r="C31" s="162"/>
      <c r="D31" s="162"/>
      <c r="E31" s="162"/>
      <c r="F31" s="162"/>
      <c r="G31" s="162"/>
      <c r="H31" s="163"/>
      <c r="I31" s="163"/>
      <c r="J31" s="164"/>
      <c r="K31" s="165"/>
      <c r="L31" s="148"/>
      <c r="M31" s="149"/>
    </row>
    <row r="32" spans="2:13" x14ac:dyDescent="0.25">
      <c r="B32" s="150"/>
      <c r="C32" s="145"/>
      <c r="D32" s="145"/>
      <c r="E32" s="145"/>
      <c r="F32" s="145"/>
      <c r="G32" s="145"/>
      <c r="H32" s="173"/>
      <c r="I32" s="173"/>
      <c r="J32" s="164"/>
      <c r="K32" s="165"/>
      <c r="L32" s="92"/>
      <c r="M32" s="93"/>
    </row>
    <row r="33" spans="2:23" x14ac:dyDescent="0.25">
      <c r="B33" s="150"/>
      <c r="C33" s="145"/>
      <c r="D33" s="145"/>
      <c r="E33" s="145"/>
      <c r="F33" s="145"/>
      <c r="G33" s="145"/>
      <c r="H33" s="173"/>
      <c r="I33" s="173"/>
      <c r="J33" s="164"/>
      <c r="K33" s="165"/>
      <c r="L33" s="92"/>
      <c r="M33" s="93"/>
    </row>
    <row r="34" spans="2:23" x14ac:dyDescent="0.25">
      <c r="B34" s="150"/>
      <c r="C34" s="145"/>
      <c r="D34" s="145"/>
      <c r="E34" s="145"/>
      <c r="F34" s="145"/>
      <c r="G34" s="145"/>
      <c r="H34" s="173"/>
      <c r="I34" s="173"/>
      <c r="J34" s="164"/>
      <c r="K34" s="165"/>
      <c r="L34" s="92"/>
      <c r="M34" s="93"/>
    </row>
    <row r="35" spans="2:23" x14ac:dyDescent="0.25">
      <c r="B35" s="150"/>
      <c r="C35" s="145"/>
      <c r="D35" s="145"/>
      <c r="E35" s="145"/>
      <c r="F35" s="145"/>
      <c r="G35" s="145"/>
      <c r="H35" s="173"/>
      <c r="I35" s="173"/>
      <c r="J35" s="180"/>
      <c r="K35" s="165"/>
      <c r="L35" s="92"/>
      <c r="M35" s="93"/>
    </row>
    <row r="36" spans="2:23" ht="15.75" thickBot="1" x14ac:dyDescent="0.3">
      <c r="B36" s="154"/>
      <c r="C36" s="155"/>
      <c r="D36" s="155"/>
      <c r="E36" s="155"/>
      <c r="F36" s="155"/>
      <c r="G36" s="155"/>
      <c r="H36" s="109"/>
      <c r="I36" s="110"/>
      <c r="J36" s="109"/>
      <c r="K36" s="110"/>
      <c r="L36" s="109"/>
      <c r="M36" s="111"/>
    </row>
    <row r="37" spans="2:23" ht="15.75" thickBot="1" x14ac:dyDescent="0.3"/>
    <row r="38" spans="2:23" s="15" customFormat="1" ht="24.75" customHeight="1" x14ac:dyDescent="0.25">
      <c r="B38" s="21" t="s">
        <v>0</v>
      </c>
      <c r="C38" s="22"/>
      <c r="D38" s="22"/>
      <c r="E38" s="22"/>
      <c r="F38" s="22"/>
      <c r="G38" s="22" t="s">
        <v>3</v>
      </c>
      <c r="H38" s="22" t="s">
        <v>1</v>
      </c>
      <c r="I38" s="22" t="s">
        <v>4</v>
      </c>
      <c r="J38" s="174" t="s">
        <v>2</v>
      </c>
      <c r="K38" s="174"/>
      <c r="L38" s="174"/>
      <c r="M38" s="175"/>
      <c r="O38" s="28"/>
      <c r="P38" s="28"/>
      <c r="Q38" s="28"/>
      <c r="R38" s="28"/>
      <c r="S38" s="32"/>
      <c r="T38" s="28"/>
      <c r="U38" s="28"/>
      <c r="V38" s="28"/>
      <c r="W38" s="28"/>
    </row>
    <row r="39" spans="2:23" x14ac:dyDescent="0.25">
      <c r="B39" s="16"/>
      <c r="M39" s="17"/>
    </row>
    <row r="40" spans="2:23" s="2" customFormat="1" ht="27" customHeight="1" x14ac:dyDescent="0.25">
      <c r="B40" s="23" t="s">
        <v>434</v>
      </c>
      <c r="C40" s="7"/>
      <c r="D40" s="7"/>
      <c r="E40" s="7"/>
      <c r="F40" s="8"/>
      <c r="G40" s="11"/>
      <c r="H40" s="11"/>
      <c r="I40" s="12"/>
      <c r="J40" s="159"/>
      <c r="K40" s="159"/>
      <c r="L40" s="159"/>
      <c r="M40" s="160"/>
      <c r="O40" s="30"/>
      <c r="P40" s="30"/>
      <c r="Q40" s="30"/>
      <c r="R40" s="30"/>
      <c r="S40" s="29"/>
      <c r="T40" s="29"/>
      <c r="U40" s="29"/>
      <c r="V40" s="29"/>
      <c r="W40" s="29"/>
    </row>
    <row r="41" spans="2:23" s="2" customFormat="1" ht="27" customHeight="1" x14ac:dyDescent="0.25">
      <c r="B41" s="25" t="s">
        <v>86</v>
      </c>
      <c r="C41" s="9"/>
      <c r="D41" s="9"/>
      <c r="E41" s="9"/>
      <c r="F41" s="10"/>
      <c r="G41" s="13"/>
      <c r="H41" s="13"/>
      <c r="I41" s="14"/>
      <c r="J41" s="176"/>
      <c r="K41" s="176"/>
      <c r="L41" s="176"/>
      <c r="M41" s="177"/>
      <c r="O41" s="30"/>
      <c r="P41" s="30"/>
      <c r="Q41" s="30"/>
      <c r="R41" s="30"/>
      <c r="S41" s="29"/>
      <c r="T41" s="29"/>
      <c r="U41" s="29"/>
      <c r="V41" s="29"/>
      <c r="W41" s="29"/>
    </row>
    <row r="42" spans="2:23" s="3" customFormat="1" ht="27" customHeight="1" x14ac:dyDescent="0.25">
      <c r="B42" s="24" t="str">
        <f>+AVANCES!B6</f>
        <v>LOTE 20 M-663 ARTICO-A</v>
      </c>
      <c r="C42" s="5"/>
      <c r="D42" s="5"/>
      <c r="E42" s="5"/>
      <c r="F42" s="6"/>
      <c r="G42" s="54">
        <f>+AVANCES!E6</f>
        <v>4.807512127265357E-3</v>
      </c>
      <c r="H42" s="54">
        <f>+AVANCES!F6</f>
        <v>0</v>
      </c>
      <c r="I42" s="215">
        <f t="shared" ref="I42:I47" si="0">+H42-G42</f>
        <v>-4.807512127265357E-3</v>
      </c>
      <c r="J42" s="92"/>
      <c r="K42" s="92"/>
      <c r="L42" s="92"/>
      <c r="M42" s="93"/>
      <c r="O42" s="30"/>
      <c r="P42" s="30"/>
      <c r="Q42" s="30"/>
      <c r="R42" s="30"/>
      <c r="S42" s="29"/>
      <c r="T42" s="30"/>
      <c r="U42" s="30"/>
      <c r="V42" s="30"/>
      <c r="W42" s="30"/>
    </row>
    <row r="43" spans="2:23" s="3" customFormat="1" ht="27" customHeight="1" x14ac:dyDescent="0.25">
      <c r="B43" s="24" t="str">
        <f>+AVANCES!B259</f>
        <v>LOTE 21 M-663 CORSAC-A</v>
      </c>
      <c r="C43" s="5"/>
      <c r="D43" s="5"/>
      <c r="E43" s="5"/>
      <c r="F43" s="6"/>
      <c r="G43" s="216">
        <f>+AVANCES!E259</f>
        <v>0</v>
      </c>
      <c r="H43" s="216">
        <f>+AVANCES!F259</f>
        <v>0</v>
      </c>
      <c r="I43" s="216">
        <f t="shared" si="0"/>
        <v>0</v>
      </c>
      <c r="J43" s="92"/>
      <c r="K43" s="92"/>
      <c r="L43" s="92"/>
      <c r="M43" s="93"/>
      <c r="O43" s="30"/>
      <c r="P43" s="30"/>
      <c r="Q43" s="30"/>
      <c r="R43" s="30"/>
      <c r="S43" s="29"/>
      <c r="T43" s="30"/>
      <c r="U43" s="30"/>
      <c r="V43" s="30"/>
      <c r="W43" s="30"/>
    </row>
    <row r="44" spans="2:23" s="3" customFormat="1" ht="27" customHeight="1" x14ac:dyDescent="0.25">
      <c r="B44" s="24" t="str">
        <f>+AVANCES!B558</f>
        <v>LOTE 22 M-663 CORSAC-B</v>
      </c>
      <c r="C44" s="5"/>
      <c r="D44" s="5"/>
      <c r="E44" s="5"/>
      <c r="F44" s="6"/>
      <c r="G44" s="216">
        <f>+AVANCES!E558</f>
        <v>0</v>
      </c>
      <c r="H44" s="216">
        <f>+AVANCES!F558</f>
        <v>0</v>
      </c>
      <c r="I44" s="216">
        <f t="shared" si="0"/>
        <v>0</v>
      </c>
      <c r="J44" s="92"/>
      <c r="K44" s="92"/>
      <c r="L44" s="92"/>
      <c r="M44" s="93"/>
      <c r="O44" s="30"/>
      <c r="P44" s="30"/>
      <c r="Q44" s="30"/>
      <c r="R44" s="30"/>
      <c r="S44" s="29"/>
      <c r="T44" s="30"/>
      <c r="U44" s="30"/>
      <c r="V44" s="30"/>
      <c r="W44" s="30"/>
    </row>
    <row r="45" spans="2:23" s="3" customFormat="1" ht="27" customHeight="1" x14ac:dyDescent="0.25">
      <c r="B45" s="24" t="str">
        <f>+AVANCES!B857</f>
        <v>LOTE 02 M-661 CORSAC-B</v>
      </c>
      <c r="C45" s="5"/>
      <c r="D45" s="5"/>
      <c r="E45" s="5"/>
      <c r="F45" s="6"/>
      <c r="G45" s="216">
        <f>+AVANCES!E857</f>
        <v>0</v>
      </c>
      <c r="H45" s="216">
        <f>+AVANCES!F857</f>
        <v>0</v>
      </c>
      <c r="I45" s="216">
        <f t="shared" si="0"/>
        <v>0</v>
      </c>
      <c r="J45" s="92"/>
      <c r="K45" s="92"/>
      <c r="L45" s="92"/>
      <c r="M45" s="93"/>
      <c r="O45" s="30"/>
      <c r="P45" s="30"/>
      <c r="Q45" s="30"/>
      <c r="R45" s="30"/>
      <c r="S45" s="29"/>
      <c r="T45" s="30"/>
      <c r="U45" s="30"/>
      <c r="V45" s="30"/>
      <c r="W45" s="30"/>
    </row>
    <row r="46" spans="2:23" s="3" customFormat="1" ht="27" customHeight="1" x14ac:dyDescent="0.25">
      <c r="B46" s="24" t="str">
        <f>+AVANCES!B1156</f>
        <v>LOTE 03 M-661 CORSAC-A</v>
      </c>
      <c r="C46" s="5"/>
      <c r="D46" s="5"/>
      <c r="E46" s="5"/>
      <c r="F46" s="6"/>
      <c r="G46" s="216">
        <f>+AVANCES!E1156</f>
        <v>0</v>
      </c>
      <c r="H46" s="216">
        <f>+AVANCES!F1156</f>
        <v>0</v>
      </c>
      <c r="I46" s="216">
        <f t="shared" si="0"/>
        <v>0</v>
      </c>
      <c r="J46" s="92"/>
      <c r="K46" s="92"/>
      <c r="L46" s="92"/>
      <c r="M46" s="93"/>
      <c r="O46" s="30"/>
      <c r="P46" s="30"/>
      <c r="Q46" s="30"/>
      <c r="R46" s="30"/>
      <c r="S46" s="29"/>
      <c r="T46" s="30"/>
      <c r="U46" s="30"/>
      <c r="V46" s="30"/>
      <c r="W46" s="30"/>
    </row>
    <row r="47" spans="2:23" s="3" customFormat="1" ht="27" customHeight="1" x14ac:dyDescent="0.25">
      <c r="B47" s="24" t="str">
        <f>+AVANCES!B1455</f>
        <v>LOTE 04 M-661 ARTICO-A</v>
      </c>
      <c r="C47" s="5"/>
      <c r="D47" s="5"/>
      <c r="E47" s="5"/>
      <c r="F47" s="6"/>
      <c r="G47" s="54">
        <f>+AVANCES!E1455</f>
        <v>0</v>
      </c>
      <c r="H47" s="54">
        <f>+AVANCES!F1455</f>
        <v>5.5078140884645462E-3</v>
      </c>
      <c r="I47" s="55">
        <f t="shared" si="0"/>
        <v>5.5078140884645462E-3</v>
      </c>
      <c r="J47" s="92"/>
      <c r="K47" s="92"/>
      <c r="L47" s="92"/>
      <c r="M47" s="93"/>
      <c r="O47" s="30"/>
      <c r="P47" s="30"/>
      <c r="Q47" s="30"/>
      <c r="R47" s="30"/>
      <c r="S47" s="29"/>
      <c r="T47" s="30"/>
      <c r="U47" s="30"/>
      <c r="V47" s="30"/>
      <c r="W47" s="30"/>
    </row>
    <row r="48" spans="2:23" s="3" customFormat="1" ht="27" customHeight="1" x14ac:dyDescent="0.25">
      <c r="B48" s="24"/>
      <c r="C48" s="5"/>
      <c r="D48" s="5"/>
      <c r="E48" s="5"/>
      <c r="F48" s="6"/>
      <c r="G48" s="26"/>
      <c r="H48" s="37"/>
      <c r="I48" s="37"/>
      <c r="J48" s="178"/>
      <c r="K48" s="178"/>
      <c r="L48" s="178"/>
      <c r="M48" s="179"/>
      <c r="O48" s="30"/>
      <c r="P48" s="30"/>
      <c r="Q48" s="30"/>
      <c r="R48" s="30"/>
      <c r="S48" s="29"/>
      <c r="T48" s="30"/>
      <c r="U48" s="30"/>
      <c r="V48" s="30"/>
      <c r="W48" s="30"/>
    </row>
    <row r="49" spans="2:23" x14ac:dyDescent="0.25">
      <c r="B49" s="156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8"/>
    </row>
    <row r="50" spans="2:23" s="2" customFormat="1" ht="27" customHeight="1" x14ac:dyDescent="0.25">
      <c r="B50" s="16"/>
      <c r="C50" s="1"/>
      <c r="D50" s="1"/>
      <c r="E50" s="1"/>
      <c r="F50" s="1"/>
      <c r="G50" s="1"/>
      <c r="H50" s="1"/>
      <c r="I50" s="1"/>
      <c r="J50" s="1"/>
      <c r="K50" s="1"/>
      <c r="L50" s="1"/>
      <c r="M50" s="17"/>
      <c r="O50" s="30"/>
      <c r="P50" s="30"/>
      <c r="Q50" s="30"/>
      <c r="R50" s="30"/>
      <c r="S50" s="29"/>
      <c r="T50" s="29"/>
      <c r="U50" s="29"/>
      <c r="V50" s="29"/>
      <c r="W50" s="29"/>
    </row>
    <row r="51" spans="2:23" s="2" customFormat="1" ht="27" customHeight="1" x14ac:dyDescent="0.25">
      <c r="B51" s="16"/>
      <c r="C51" s="1"/>
      <c r="D51" s="1"/>
      <c r="E51" s="1"/>
      <c r="F51" s="1"/>
      <c r="G51" s="1"/>
      <c r="H51" s="1"/>
      <c r="I51" s="1"/>
      <c r="J51" s="1"/>
      <c r="K51" s="1"/>
      <c r="L51" s="1"/>
      <c r="M51" s="17"/>
      <c r="O51" s="30"/>
      <c r="P51" s="30"/>
      <c r="Q51" s="30"/>
      <c r="R51" s="30"/>
      <c r="S51" s="29"/>
      <c r="T51" s="29"/>
      <c r="U51" s="29"/>
      <c r="V51" s="29"/>
      <c r="W51" s="29"/>
    </row>
    <row r="52" spans="2:23" s="3" customFormat="1" ht="27" customHeight="1" x14ac:dyDescent="0.25">
      <c r="B52" s="16"/>
      <c r="C52" s="1"/>
      <c r="D52" s="1"/>
      <c r="E52" s="1"/>
      <c r="F52" s="1"/>
      <c r="G52" s="1"/>
      <c r="H52" s="1"/>
      <c r="I52" s="1"/>
      <c r="J52" s="1"/>
      <c r="K52" s="1"/>
      <c r="L52" s="1"/>
      <c r="M52" s="17"/>
      <c r="O52" s="30"/>
      <c r="P52" s="30"/>
      <c r="Q52" s="30"/>
      <c r="R52" s="30"/>
      <c r="S52" s="29"/>
      <c r="T52" s="30"/>
      <c r="U52" s="30"/>
      <c r="V52" s="30"/>
      <c r="W52" s="30"/>
    </row>
    <row r="53" spans="2:23" s="3" customFormat="1" ht="27" customHeight="1" x14ac:dyDescent="0.25">
      <c r="B53" s="16"/>
      <c r="C53" s="1"/>
      <c r="D53" s="1"/>
      <c r="E53" s="1"/>
      <c r="F53" s="1"/>
      <c r="G53" s="1"/>
      <c r="H53" s="1"/>
      <c r="I53" s="1"/>
      <c r="J53" s="1"/>
      <c r="K53" s="1"/>
      <c r="L53" s="1"/>
      <c r="M53" s="17"/>
      <c r="O53" s="30"/>
      <c r="P53" s="30"/>
      <c r="Q53" s="30"/>
      <c r="R53" s="30"/>
      <c r="S53" s="29"/>
      <c r="T53" s="30"/>
      <c r="U53" s="30"/>
      <c r="V53" s="30"/>
      <c r="W53" s="30"/>
    </row>
    <row r="54" spans="2:23" s="3" customFormat="1" ht="27" customHeight="1" x14ac:dyDescent="0.25">
      <c r="B54" s="16"/>
      <c r="C54" s="1"/>
      <c r="D54" s="1"/>
      <c r="E54" s="1"/>
      <c r="F54" s="1"/>
      <c r="G54" s="1"/>
      <c r="H54" s="1"/>
      <c r="I54" s="1"/>
      <c r="J54" s="1"/>
      <c r="K54" s="1"/>
      <c r="L54" s="1"/>
      <c r="M54" s="17"/>
      <c r="O54" s="30"/>
      <c r="P54" s="30"/>
      <c r="Q54" s="30"/>
      <c r="R54" s="30"/>
      <c r="S54" s="29"/>
      <c r="T54" s="30"/>
      <c r="U54" s="30"/>
      <c r="V54" s="30"/>
      <c r="W54" s="30"/>
    </row>
    <row r="55" spans="2:23" s="3" customFormat="1" ht="27" customHeight="1" x14ac:dyDescent="0.25">
      <c r="B55" s="16"/>
      <c r="C55" s="1"/>
      <c r="D55" s="1"/>
      <c r="E55" s="1"/>
      <c r="F55" s="1"/>
      <c r="G55" s="1"/>
      <c r="H55" s="1"/>
      <c r="I55" s="1"/>
      <c r="J55" s="1"/>
      <c r="K55" s="1"/>
      <c r="L55" s="1"/>
      <c r="M55" s="17"/>
      <c r="O55" s="30"/>
      <c r="P55" s="30"/>
      <c r="Q55" s="30"/>
      <c r="R55" s="30"/>
      <c r="S55" s="29"/>
      <c r="T55" s="30"/>
      <c r="U55" s="30"/>
      <c r="V55" s="30"/>
      <c r="W55" s="30"/>
    </row>
    <row r="56" spans="2:23" s="3" customFormat="1" ht="34.5" customHeight="1" thickBot="1" x14ac:dyDescent="0.3">
      <c r="B56" s="18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  <c r="O56" s="30"/>
      <c r="P56" s="30"/>
      <c r="Q56" s="30"/>
      <c r="R56" s="30"/>
      <c r="S56" s="29"/>
      <c r="T56" s="30"/>
      <c r="U56" s="30"/>
      <c r="V56" s="30"/>
      <c r="W56" s="30"/>
    </row>
    <row r="57" spans="2:23" x14ac:dyDescent="0.25">
      <c r="G57" s="4"/>
      <c r="H57" s="4"/>
      <c r="I57" s="4"/>
    </row>
    <row r="58" spans="2:23" x14ac:dyDescent="0.25">
      <c r="B58" s="61" t="s">
        <v>6</v>
      </c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</row>
    <row r="59" spans="2:23" x14ac:dyDescent="0.25"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</row>
    <row r="60" spans="2:23" ht="15.75" thickBot="1" x14ac:dyDescent="0.3"/>
    <row r="61" spans="2:23" ht="15.75" x14ac:dyDescent="0.25">
      <c r="B61" s="62"/>
      <c r="C61" s="63"/>
      <c r="D61" s="64"/>
      <c r="E61" s="69" t="s">
        <v>7</v>
      </c>
      <c r="F61" s="70"/>
      <c r="G61" s="71"/>
      <c r="H61" s="72" t="s">
        <v>435</v>
      </c>
      <c r="I61" s="73"/>
      <c r="J61" s="73"/>
      <c r="K61" s="73"/>
      <c r="L61" s="74" t="s">
        <v>19</v>
      </c>
      <c r="M61" s="75"/>
    </row>
    <row r="62" spans="2:23" ht="15" customHeight="1" x14ac:dyDescent="0.25">
      <c r="B62" s="59"/>
      <c r="C62" s="60"/>
      <c r="D62" s="65"/>
      <c r="E62" s="76" t="s">
        <v>8</v>
      </c>
      <c r="F62" s="77"/>
      <c r="G62" s="78"/>
      <c r="H62" s="79" t="s">
        <v>11</v>
      </c>
      <c r="I62" s="80"/>
      <c r="J62" s="80"/>
      <c r="K62" s="80"/>
      <c r="L62" s="81" t="s">
        <v>59</v>
      </c>
      <c r="M62" s="82"/>
    </row>
    <row r="63" spans="2:23" ht="15" customHeight="1" x14ac:dyDescent="0.25">
      <c r="B63" s="59"/>
      <c r="C63" s="60"/>
      <c r="D63" s="65"/>
      <c r="E63" s="76" t="s">
        <v>10</v>
      </c>
      <c r="F63" s="77"/>
      <c r="G63" s="78"/>
      <c r="H63" s="79" t="s">
        <v>12</v>
      </c>
      <c r="I63" s="80"/>
      <c r="J63" s="80"/>
      <c r="K63" s="80"/>
      <c r="L63" s="83"/>
      <c r="M63" s="84"/>
    </row>
    <row r="64" spans="2:23" ht="15.75" customHeight="1" thickBot="1" x14ac:dyDescent="0.3">
      <c r="B64" s="66"/>
      <c r="C64" s="67"/>
      <c r="D64" s="68"/>
      <c r="E64" s="87" t="s">
        <v>9</v>
      </c>
      <c r="F64" s="88"/>
      <c r="G64" s="89"/>
      <c r="H64" s="90" t="s">
        <v>60</v>
      </c>
      <c r="I64" s="91"/>
      <c r="J64" s="91"/>
      <c r="K64" s="91"/>
      <c r="L64" s="85"/>
      <c r="M64" s="86"/>
    </row>
    <row r="65" spans="2:13" ht="15.75" thickBot="1" x14ac:dyDescent="0.3"/>
    <row r="66" spans="2:13" ht="18.75" x14ac:dyDescent="0.25">
      <c r="B66" s="56" t="s">
        <v>13</v>
      </c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8"/>
    </row>
    <row r="67" spans="2:13" x14ac:dyDescent="0.25">
      <c r="B67" s="16"/>
      <c r="M67" s="17"/>
    </row>
    <row r="68" spans="2:13" x14ac:dyDescent="0.25">
      <c r="B68" s="16"/>
      <c r="M68" s="17"/>
    </row>
    <row r="69" spans="2:13" x14ac:dyDescent="0.25">
      <c r="B69" s="16"/>
      <c r="M69" s="17"/>
    </row>
    <row r="70" spans="2:13" x14ac:dyDescent="0.25">
      <c r="B70" s="16"/>
      <c r="M70" s="17"/>
    </row>
    <row r="71" spans="2:13" x14ac:dyDescent="0.25">
      <c r="B71" s="16"/>
      <c r="M71" s="17"/>
    </row>
    <row r="72" spans="2:13" x14ac:dyDescent="0.25">
      <c r="B72" s="16"/>
      <c r="M72" s="17"/>
    </row>
    <row r="73" spans="2:13" x14ac:dyDescent="0.25">
      <c r="B73" s="16"/>
      <c r="M73" s="17"/>
    </row>
    <row r="74" spans="2:13" x14ac:dyDescent="0.25">
      <c r="B74" s="16"/>
      <c r="M74" s="17"/>
    </row>
    <row r="75" spans="2:13" x14ac:dyDescent="0.25">
      <c r="B75" s="16"/>
      <c r="M75" s="17"/>
    </row>
    <row r="76" spans="2:13" x14ac:dyDescent="0.25">
      <c r="B76" s="16"/>
      <c r="M76" s="17"/>
    </row>
    <row r="77" spans="2:13" x14ac:dyDescent="0.25">
      <c r="B77" s="16"/>
      <c r="M77" s="17"/>
    </row>
    <row r="78" spans="2:13" x14ac:dyDescent="0.25">
      <c r="B78" s="16"/>
      <c r="M78" s="17"/>
    </row>
    <row r="79" spans="2:13" x14ac:dyDescent="0.25">
      <c r="B79" s="16"/>
      <c r="M79" s="17"/>
    </row>
    <row r="80" spans="2:13" x14ac:dyDescent="0.25">
      <c r="B80" s="16"/>
      <c r="M80" s="17"/>
    </row>
    <row r="81" spans="2:18" x14ac:dyDescent="0.25">
      <c r="B81" s="16"/>
      <c r="M81" s="17"/>
    </row>
    <row r="82" spans="2:18" x14ac:dyDescent="0.25">
      <c r="B82" s="16"/>
      <c r="M82" s="17"/>
    </row>
    <row r="83" spans="2:18" x14ac:dyDescent="0.25">
      <c r="B83" s="16"/>
      <c r="M83" s="17"/>
    </row>
    <row r="84" spans="2:18" x14ac:dyDescent="0.25">
      <c r="B84" s="16"/>
      <c r="M84" s="17"/>
    </row>
    <row r="85" spans="2:18" x14ac:dyDescent="0.25">
      <c r="B85" s="16"/>
      <c r="M85" s="17"/>
    </row>
    <row r="86" spans="2:18" x14ac:dyDescent="0.25">
      <c r="B86" s="16"/>
      <c r="M86" s="17"/>
    </row>
    <row r="87" spans="2:18" x14ac:dyDescent="0.25">
      <c r="B87" s="16"/>
      <c r="M87" s="17"/>
    </row>
    <row r="88" spans="2:18" x14ac:dyDescent="0.25">
      <c r="B88" s="16"/>
      <c r="M88" s="17"/>
      <c r="P88" s="33"/>
    </row>
    <row r="89" spans="2:18" x14ac:dyDescent="0.25">
      <c r="B89" s="16"/>
      <c r="M89" s="17"/>
      <c r="P89" s="33"/>
    </row>
    <row r="90" spans="2:18" x14ac:dyDescent="0.25">
      <c r="B90" s="16"/>
      <c r="M90" s="17"/>
      <c r="P90" s="41"/>
    </row>
    <row r="91" spans="2:18" x14ac:dyDescent="0.25">
      <c r="B91" s="16"/>
      <c r="M91" s="17"/>
    </row>
    <row r="92" spans="2:18" x14ac:dyDescent="0.25">
      <c r="B92" s="16"/>
      <c r="M92" s="17"/>
    </row>
    <row r="93" spans="2:18" x14ac:dyDescent="0.25">
      <c r="B93" s="16"/>
      <c r="C93" s="97" t="s">
        <v>82</v>
      </c>
      <c r="D93" s="181"/>
      <c r="E93" s="181"/>
      <c r="F93" s="98"/>
      <c r="G93" s="127" t="s">
        <v>83</v>
      </c>
      <c r="H93" s="128"/>
      <c r="I93" s="128"/>
      <c r="J93" s="129"/>
      <c r="K93" s="133" t="s">
        <v>4</v>
      </c>
      <c r="L93" s="105"/>
      <c r="M93" s="17"/>
    </row>
    <row r="94" spans="2:18" x14ac:dyDescent="0.25">
      <c r="B94" s="16"/>
      <c r="C94" s="124">
        <f>+AVANCES!G4</f>
        <v>8273.2631000000001</v>
      </c>
      <c r="D94" s="125"/>
      <c r="E94" s="125"/>
      <c r="F94" s="126"/>
      <c r="G94" s="130">
        <f>+AVANCES!H4</f>
        <v>9478.4149999999991</v>
      </c>
      <c r="H94" s="131"/>
      <c r="I94" s="131"/>
      <c r="J94" s="132"/>
      <c r="K94" s="134">
        <f>+G94-C94</f>
        <v>1205.1518999999989</v>
      </c>
      <c r="L94" s="123"/>
      <c r="M94" s="17"/>
    </row>
    <row r="95" spans="2:18" x14ac:dyDescent="0.25">
      <c r="B95" s="16"/>
      <c r="C95" s="135">
        <f>+C94/'CURVA S BASE'!B10</f>
        <v>6.2751723457342196E-4</v>
      </c>
      <c r="D95" s="136"/>
      <c r="E95" s="136"/>
      <c r="F95" s="137"/>
      <c r="G95" s="138">
        <f>+G94/'CURVA S BASE'!B10</f>
        <v>7.1892658278197876E-4</v>
      </c>
      <c r="H95" s="139"/>
      <c r="I95" s="139"/>
      <c r="J95" s="140"/>
      <c r="K95" s="182">
        <f>+G95-C95</f>
        <v>9.1409348208556802E-5</v>
      </c>
      <c r="L95" s="183"/>
      <c r="M95" s="17"/>
      <c r="P95" s="33"/>
      <c r="R95" s="36"/>
    </row>
    <row r="96" spans="2:18" x14ac:dyDescent="0.25">
      <c r="B96" s="16"/>
      <c r="M96" s="17"/>
      <c r="R96" s="35"/>
    </row>
    <row r="97" spans="2:17" x14ac:dyDescent="0.25">
      <c r="B97" s="16"/>
      <c r="M97" s="17"/>
      <c r="P97" s="53">
        <f>+'CURVA S BASE'!B10</f>
        <v>13184120.920000002</v>
      </c>
    </row>
    <row r="98" spans="2:17" x14ac:dyDescent="0.25">
      <c r="B98" s="16"/>
      <c r="M98" s="17"/>
      <c r="P98" s="27" t="s">
        <v>48</v>
      </c>
    </row>
    <row r="99" spans="2:17" x14ac:dyDescent="0.25">
      <c r="B99" s="16"/>
      <c r="M99" s="17"/>
      <c r="P99" s="34">
        <f>+REPORTE!C95</f>
        <v>6.2751723457342196E-4</v>
      </c>
      <c r="Q99" s="35">
        <f>100%-P99</f>
        <v>0.99937248276542656</v>
      </c>
    </row>
    <row r="100" spans="2:17" x14ac:dyDescent="0.25">
      <c r="B100" s="16"/>
      <c r="M100" s="17"/>
      <c r="P100" s="27" t="s">
        <v>53</v>
      </c>
      <c r="Q100" s="34" t="s">
        <v>54</v>
      </c>
    </row>
    <row r="101" spans="2:17" x14ac:dyDescent="0.25">
      <c r="B101" s="16"/>
      <c r="M101" s="17"/>
      <c r="Q101" s="34"/>
    </row>
    <row r="102" spans="2:17" x14ac:dyDescent="0.25">
      <c r="B102" s="16"/>
      <c r="M102" s="17"/>
      <c r="Q102" s="34"/>
    </row>
    <row r="103" spans="2:17" x14ac:dyDescent="0.25">
      <c r="B103" s="16"/>
      <c r="M103" s="17"/>
      <c r="P103" s="27" t="s">
        <v>57</v>
      </c>
      <c r="Q103" s="34"/>
    </row>
    <row r="104" spans="2:17" x14ac:dyDescent="0.25">
      <c r="B104" s="16"/>
      <c r="M104" s="17"/>
      <c r="P104" s="34">
        <f>+G95</f>
        <v>7.1892658278197876E-4</v>
      </c>
      <c r="Q104" s="35">
        <f>100%-P104</f>
        <v>0.99928107341721806</v>
      </c>
    </row>
    <row r="105" spans="2:17" x14ac:dyDescent="0.25">
      <c r="B105" s="16"/>
      <c r="M105" s="17"/>
      <c r="P105" s="27" t="s">
        <v>55</v>
      </c>
      <c r="Q105" s="27" t="s">
        <v>54</v>
      </c>
    </row>
    <row r="106" spans="2:17" x14ac:dyDescent="0.25">
      <c r="B106" s="16"/>
      <c r="M106" s="17"/>
    </row>
    <row r="107" spans="2:17" ht="15.75" thickBot="1" x14ac:dyDescent="0.3">
      <c r="B107" s="18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20"/>
      <c r="Q107" s="34"/>
    </row>
    <row r="108" spans="2:17" ht="15.75" thickBot="1" x14ac:dyDescent="0.3">
      <c r="P108" s="34"/>
      <c r="Q108" s="35"/>
    </row>
    <row r="109" spans="2:17" ht="19.5" thickBot="1" x14ac:dyDescent="0.3">
      <c r="B109" s="187" t="s">
        <v>49</v>
      </c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9"/>
    </row>
    <row r="110" spans="2:17" x14ac:dyDescent="0.25">
      <c r="B110" s="184" t="s">
        <v>85</v>
      </c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6"/>
    </row>
    <row r="111" spans="2:17" x14ac:dyDescent="0.25">
      <c r="B111" s="116" t="s">
        <v>0</v>
      </c>
      <c r="C111" s="112"/>
      <c r="D111" s="112"/>
      <c r="E111" s="112"/>
      <c r="F111" s="112"/>
      <c r="G111" s="112"/>
      <c r="H111" s="112" t="s">
        <v>52</v>
      </c>
      <c r="I111" s="112"/>
      <c r="J111" s="112" t="s">
        <v>50</v>
      </c>
      <c r="K111" s="112"/>
      <c r="L111" s="112" t="s">
        <v>51</v>
      </c>
      <c r="M111" s="117"/>
    </row>
    <row r="112" spans="2:17" x14ac:dyDescent="0.25">
      <c r="B112" s="94"/>
      <c r="C112" s="77"/>
      <c r="D112" s="77"/>
      <c r="E112" s="77"/>
      <c r="F112" s="77"/>
      <c r="G112" s="78"/>
      <c r="H112" s="95"/>
      <c r="I112" s="96"/>
      <c r="J112" s="122"/>
      <c r="K112" s="123"/>
      <c r="L112" s="118"/>
      <c r="M112" s="119"/>
    </row>
    <row r="113" spans="2:13" x14ac:dyDescent="0.25">
      <c r="B113" s="94"/>
      <c r="C113" s="77"/>
      <c r="D113" s="77"/>
      <c r="E113" s="77"/>
      <c r="F113" s="77"/>
      <c r="G113" s="78"/>
      <c r="H113" s="95"/>
      <c r="I113" s="96"/>
      <c r="J113" s="97"/>
      <c r="K113" s="98"/>
      <c r="L113" s="97"/>
      <c r="M113" s="101"/>
    </row>
    <row r="114" spans="2:13" x14ac:dyDescent="0.25">
      <c r="B114" s="94"/>
      <c r="C114" s="77"/>
      <c r="D114" s="77"/>
      <c r="E114" s="77"/>
      <c r="F114" s="77"/>
      <c r="G114" s="78"/>
      <c r="H114" s="95"/>
      <c r="I114" s="96"/>
      <c r="J114" s="122"/>
      <c r="K114" s="123"/>
      <c r="L114" s="97"/>
      <c r="M114" s="101"/>
    </row>
    <row r="115" spans="2:13" x14ac:dyDescent="0.25">
      <c r="B115" s="94"/>
      <c r="C115" s="77"/>
      <c r="D115" s="77"/>
      <c r="E115" s="77"/>
      <c r="F115" s="77"/>
      <c r="G115" s="78"/>
      <c r="H115" s="95"/>
      <c r="I115" s="96"/>
      <c r="J115" s="122"/>
      <c r="K115" s="123"/>
      <c r="L115" s="97"/>
      <c r="M115" s="101"/>
    </row>
    <row r="116" spans="2:13" x14ac:dyDescent="0.25">
      <c r="B116" s="102"/>
      <c r="C116" s="103"/>
      <c r="D116" s="103"/>
      <c r="E116" s="103"/>
      <c r="F116" s="103"/>
      <c r="G116" s="103"/>
      <c r="H116" s="120"/>
      <c r="I116" s="121"/>
      <c r="J116" s="122"/>
      <c r="K116" s="123"/>
      <c r="L116" s="97"/>
      <c r="M116" s="101"/>
    </row>
    <row r="117" spans="2:13" x14ac:dyDescent="0.25">
      <c r="B117" s="102"/>
      <c r="C117" s="103"/>
      <c r="D117" s="103"/>
      <c r="E117" s="103"/>
      <c r="F117" s="103"/>
      <c r="G117" s="103"/>
      <c r="H117" s="121"/>
      <c r="I117" s="121"/>
      <c r="J117" s="122"/>
      <c r="K117" s="123"/>
      <c r="L117" s="118"/>
      <c r="M117" s="119"/>
    </row>
    <row r="118" spans="2:13" x14ac:dyDescent="0.25">
      <c r="B118" s="102"/>
      <c r="C118" s="103"/>
      <c r="D118" s="103"/>
      <c r="E118" s="103"/>
      <c r="F118" s="103"/>
      <c r="G118" s="103"/>
      <c r="H118" s="121"/>
      <c r="I118" s="121"/>
      <c r="J118" s="122"/>
      <c r="K118" s="123"/>
      <c r="L118" s="106"/>
      <c r="M118" s="107"/>
    </row>
    <row r="119" spans="2:13" x14ac:dyDescent="0.25">
      <c r="B119" s="113" t="s">
        <v>56</v>
      </c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5"/>
    </row>
    <row r="120" spans="2:13" x14ac:dyDescent="0.25">
      <c r="B120" s="116" t="s">
        <v>0</v>
      </c>
      <c r="C120" s="112"/>
      <c r="D120" s="112"/>
      <c r="E120" s="112"/>
      <c r="F120" s="112"/>
      <c r="G120" s="112"/>
      <c r="H120" s="112" t="s">
        <v>52</v>
      </c>
      <c r="I120" s="112"/>
      <c r="J120" s="112" t="s">
        <v>50</v>
      </c>
      <c r="K120" s="112"/>
      <c r="L120" s="112" t="s">
        <v>51</v>
      </c>
      <c r="M120" s="117"/>
    </row>
    <row r="121" spans="2:13" x14ac:dyDescent="0.25">
      <c r="B121" s="94"/>
      <c r="C121" s="77"/>
      <c r="D121" s="77"/>
      <c r="E121" s="77"/>
      <c r="F121" s="77"/>
      <c r="G121" s="78"/>
      <c r="H121" s="95"/>
      <c r="I121" s="96"/>
      <c r="J121" s="104"/>
      <c r="K121" s="105"/>
      <c r="L121" s="97"/>
      <c r="M121" s="101"/>
    </row>
    <row r="122" spans="2:13" x14ac:dyDescent="0.25">
      <c r="B122" s="94"/>
      <c r="C122" s="77"/>
      <c r="D122" s="77"/>
      <c r="E122" s="77"/>
      <c r="F122" s="77"/>
      <c r="G122" s="78"/>
      <c r="H122" s="95"/>
      <c r="I122" s="96"/>
      <c r="J122" s="97"/>
      <c r="K122" s="98"/>
      <c r="L122" s="97"/>
      <c r="M122" s="101"/>
    </row>
    <row r="123" spans="2:13" x14ac:dyDescent="0.25">
      <c r="B123" s="94"/>
      <c r="C123" s="77"/>
      <c r="D123" s="77"/>
      <c r="E123" s="77"/>
      <c r="F123" s="77"/>
      <c r="G123" s="78"/>
      <c r="H123" s="95"/>
      <c r="I123" s="96"/>
      <c r="J123" s="97"/>
      <c r="K123" s="98"/>
      <c r="L123" s="99"/>
      <c r="M123" s="100"/>
    </row>
    <row r="124" spans="2:13" x14ac:dyDescent="0.25">
      <c r="B124" s="44"/>
      <c r="C124" s="42"/>
      <c r="D124" s="42"/>
      <c r="E124" s="42"/>
      <c r="F124" s="42"/>
      <c r="G124" s="43"/>
      <c r="H124" s="45"/>
      <c r="I124" s="46"/>
      <c r="J124" s="47"/>
      <c r="K124" s="48"/>
      <c r="L124" s="47"/>
      <c r="M124" s="49"/>
    </row>
    <row r="125" spans="2:13" x14ac:dyDescent="0.25">
      <c r="B125" s="94"/>
      <c r="C125" s="77"/>
      <c r="D125" s="77"/>
      <c r="E125" s="77"/>
      <c r="F125" s="77"/>
      <c r="G125" s="78"/>
      <c r="H125" s="95"/>
      <c r="I125" s="96"/>
      <c r="J125" s="97"/>
      <c r="K125" s="98"/>
      <c r="L125" s="97"/>
      <c r="M125" s="101"/>
    </row>
    <row r="126" spans="2:13" x14ac:dyDescent="0.25">
      <c r="B126" s="94"/>
      <c r="C126" s="77"/>
      <c r="D126" s="77"/>
      <c r="E126" s="77"/>
      <c r="F126" s="77"/>
      <c r="G126" s="78"/>
      <c r="H126" s="95"/>
      <c r="I126" s="96"/>
      <c r="J126" s="97"/>
      <c r="K126" s="98"/>
      <c r="L126" s="97"/>
      <c r="M126" s="101"/>
    </row>
    <row r="127" spans="2:13" ht="15.75" thickBot="1" x14ac:dyDescent="0.3">
      <c r="B127" s="108"/>
      <c r="C127" s="88"/>
      <c r="D127" s="88"/>
      <c r="E127" s="88"/>
      <c r="F127" s="88"/>
      <c r="G127" s="89"/>
      <c r="H127" s="109"/>
      <c r="I127" s="110"/>
      <c r="J127" s="109"/>
      <c r="K127" s="110"/>
      <c r="L127" s="109"/>
      <c r="M127" s="111"/>
    </row>
    <row r="129" spans="2:13" x14ac:dyDescent="0.25">
      <c r="B129" s="61" t="s">
        <v>6</v>
      </c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</row>
    <row r="130" spans="2:13" x14ac:dyDescent="0.25"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</row>
    <row r="131" spans="2:13" ht="15.75" thickBot="1" x14ac:dyDescent="0.3"/>
    <row r="132" spans="2:13" ht="15.75" x14ac:dyDescent="0.25">
      <c r="B132" s="62"/>
      <c r="C132" s="63"/>
      <c r="D132" s="64"/>
      <c r="E132" s="69" t="s">
        <v>7</v>
      </c>
      <c r="F132" s="70"/>
      <c r="G132" s="71"/>
      <c r="H132" s="72" t="s">
        <v>435</v>
      </c>
      <c r="I132" s="73"/>
      <c r="J132" s="73"/>
      <c r="K132" s="73"/>
      <c r="L132" s="74" t="s">
        <v>19</v>
      </c>
      <c r="M132" s="75"/>
    </row>
    <row r="133" spans="2:13" ht="15" customHeight="1" x14ac:dyDescent="0.25">
      <c r="B133" s="59"/>
      <c r="C133" s="60"/>
      <c r="D133" s="65"/>
      <c r="E133" s="76" t="s">
        <v>8</v>
      </c>
      <c r="F133" s="77"/>
      <c r="G133" s="78"/>
      <c r="H133" s="79" t="s">
        <v>11</v>
      </c>
      <c r="I133" s="80"/>
      <c r="J133" s="80"/>
      <c r="K133" s="80"/>
      <c r="L133" s="81" t="s">
        <v>59</v>
      </c>
      <c r="M133" s="82"/>
    </row>
    <row r="134" spans="2:13" ht="15" customHeight="1" x14ac:dyDescent="0.25">
      <c r="B134" s="59"/>
      <c r="C134" s="60"/>
      <c r="D134" s="65"/>
      <c r="E134" s="76" t="s">
        <v>10</v>
      </c>
      <c r="F134" s="77"/>
      <c r="G134" s="78"/>
      <c r="H134" s="79" t="s">
        <v>12</v>
      </c>
      <c r="I134" s="80"/>
      <c r="J134" s="80"/>
      <c r="K134" s="80"/>
      <c r="L134" s="83"/>
      <c r="M134" s="84"/>
    </row>
    <row r="135" spans="2:13" ht="15.75" customHeight="1" thickBot="1" x14ac:dyDescent="0.3">
      <c r="B135" s="66"/>
      <c r="C135" s="67"/>
      <c r="D135" s="68"/>
      <c r="E135" s="87" t="s">
        <v>9</v>
      </c>
      <c r="F135" s="88"/>
      <c r="G135" s="89"/>
      <c r="H135" s="90" t="s">
        <v>60</v>
      </c>
      <c r="I135" s="91"/>
      <c r="J135" s="91"/>
      <c r="K135" s="91"/>
      <c r="L135" s="85"/>
      <c r="M135" s="86"/>
    </row>
    <row r="136" spans="2:13" ht="15.75" thickBot="1" x14ac:dyDescent="0.3"/>
    <row r="137" spans="2:13" ht="18.75" x14ac:dyDescent="0.25">
      <c r="B137" s="56" t="s">
        <v>18</v>
      </c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8"/>
    </row>
    <row r="138" spans="2:13" x14ac:dyDescent="0.25">
      <c r="B138" s="226" t="s">
        <v>437</v>
      </c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8"/>
    </row>
    <row r="139" spans="2:13" x14ac:dyDescent="0.25">
      <c r="B139" s="226"/>
      <c r="C139" s="227"/>
      <c r="D139" s="227"/>
      <c r="E139" s="227"/>
      <c r="F139" s="227"/>
      <c r="G139" s="227"/>
      <c r="H139" s="227"/>
      <c r="I139" s="227"/>
      <c r="J139" s="227"/>
      <c r="K139" s="227"/>
      <c r="L139" s="227"/>
      <c r="M139" s="228"/>
    </row>
    <row r="140" spans="2:13" x14ac:dyDescent="0.25">
      <c r="B140" s="217"/>
      <c r="C140" s="218"/>
      <c r="D140" s="218"/>
      <c r="E140" s="218"/>
      <c r="F140" s="218"/>
      <c r="G140" s="218"/>
      <c r="H140" s="218"/>
      <c r="I140" s="218"/>
      <c r="J140" s="218"/>
      <c r="K140" s="218"/>
      <c r="L140" s="218"/>
      <c r="M140" s="219"/>
    </row>
    <row r="141" spans="2:13" x14ac:dyDescent="0.25">
      <c r="B141" s="217"/>
      <c r="C141" s="218"/>
      <c r="D141" s="218"/>
      <c r="E141" s="218"/>
      <c r="F141" s="218"/>
      <c r="G141" s="218"/>
      <c r="H141" s="218"/>
      <c r="I141" s="218"/>
      <c r="J141" s="218"/>
      <c r="K141" s="218"/>
      <c r="L141" s="218"/>
      <c r="M141" s="219"/>
    </row>
    <row r="142" spans="2:13" x14ac:dyDescent="0.25">
      <c r="B142" s="217"/>
      <c r="C142" s="218"/>
      <c r="D142" s="218"/>
      <c r="E142" s="218"/>
      <c r="F142" s="218"/>
      <c r="G142" s="218"/>
      <c r="H142" s="218"/>
      <c r="I142" s="218"/>
      <c r="J142" s="218"/>
      <c r="K142" s="218"/>
      <c r="L142" s="218"/>
      <c r="M142" s="219"/>
    </row>
    <row r="143" spans="2:13" x14ac:dyDescent="0.25">
      <c r="B143" s="217"/>
      <c r="C143" s="218"/>
      <c r="D143" s="218"/>
      <c r="E143" s="218"/>
      <c r="F143" s="218"/>
      <c r="G143" s="218"/>
      <c r="H143" s="218"/>
      <c r="I143" s="218"/>
      <c r="J143" s="218"/>
      <c r="K143" s="218"/>
      <c r="L143" s="218"/>
      <c r="M143" s="219"/>
    </row>
    <row r="144" spans="2:13" x14ac:dyDescent="0.25">
      <c r="B144" s="217"/>
      <c r="C144" s="218"/>
      <c r="D144" s="218"/>
      <c r="E144" s="218"/>
      <c r="F144" s="218"/>
      <c r="G144" s="218"/>
      <c r="H144" s="218"/>
      <c r="I144" s="218"/>
      <c r="J144" s="218"/>
      <c r="K144" s="218"/>
      <c r="L144" s="218"/>
      <c r="M144" s="219"/>
    </row>
    <row r="145" spans="2:13" x14ac:dyDescent="0.25">
      <c r="B145" s="217"/>
      <c r="C145" s="218"/>
      <c r="D145" s="218"/>
      <c r="E145" s="218"/>
      <c r="F145" s="218"/>
      <c r="G145" s="218"/>
      <c r="H145" s="218"/>
      <c r="I145" s="218"/>
      <c r="J145" s="218"/>
      <c r="K145" s="218"/>
      <c r="L145" s="218"/>
      <c r="M145" s="219"/>
    </row>
    <row r="146" spans="2:13" x14ac:dyDescent="0.25">
      <c r="B146" s="217"/>
      <c r="C146" s="218"/>
      <c r="D146" s="218"/>
      <c r="E146" s="218"/>
      <c r="F146" s="218"/>
      <c r="G146" s="218"/>
      <c r="H146" s="218"/>
      <c r="I146" s="218"/>
      <c r="J146" s="218"/>
      <c r="K146" s="218"/>
      <c r="L146" s="218"/>
      <c r="M146" s="219"/>
    </row>
    <row r="147" spans="2:13" x14ac:dyDescent="0.25">
      <c r="B147" s="217"/>
      <c r="C147" s="218"/>
      <c r="D147" s="218"/>
      <c r="E147" s="218"/>
      <c r="F147" s="218"/>
      <c r="G147" s="218"/>
      <c r="H147" s="218"/>
      <c r="I147" s="218"/>
      <c r="J147" s="218"/>
      <c r="K147" s="218"/>
      <c r="L147" s="218"/>
      <c r="M147" s="219"/>
    </row>
    <row r="148" spans="2:13" x14ac:dyDescent="0.25">
      <c r="B148" s="217"/>
      <c r="C148" s="218"/>
      <c r="D148" s="218"/>
      <c r="E148" s="218"/>
      <c r="F148" s="218"/>
      <c r="G148" s="218"/>
      <c r="H148" s="218"/>
      <c r="I148" s="218"/>
      <c r="J148" s="218"/>
      <c r="K148" s="218"/>
      <c r="L148" s="218"/>
      <c r="M148" s="219"/>
    </row>
    <row r="149" spans="2:13" x14ac:dyDescent="0.25">
      <c r="B149" s="217"/>
      <c r="C149" s="218"/>
      <c r="D149" s="218"/>
      <c r="E149" s="218"/>
      <c r="F149" s="218"/>
      <c r="G149" s="218"/>
      <c r="H149" s="218"/>
      <c r="I149" s="218"/>
      <c r="J149" s="218"/>
      <c r="K149" s="218"/>
      <c r="L149" s="218"/>
      <c r="M149" s="219"/>
    </row>
    <row r="150" spans="2:13" x14ac:dyDescent="0.25">
      <c r="B150" s="217"/>
      <c r="C150" s="218"/>
      <c r="D150" s="218"/>
      <c r="E150" s="218"/>
      <c r="F150" s="218"/>
      <c r="G150" s="218"/>
      <c r="H150" s="218"/>
      <c r="I150" s="218"/>
      <c r="J150" s="218"/>
      <c r="K150" s="218"/>
      <c r="L150" s="218"/>
      <c r="M150" s="219"/>
    </row>
    <row r="151" spans="2:13" x14ac:dyDescent="0.25">
      <c r="B151" s="217"/>
      <c r="C151" s="218"/>
      <c r="D151" s="218"/>
      <c r="E151" s="218"/>
      <c r="F151" s="218"/>
      <c r="G151" s="218"/>
      <c r="H151" s="218"/>
      <c r="I151" s="218"/>
      <c r="J151" s="218"/>
      <c r="K151" s="218"/>
      <c r="L151" s="218"/>
      <c r="M151" s="219"/>
    </row>
    <row r="152" spans="2:13" x14ac:dyDescent="0.25">
      <c r="B152" s="217"/>
      <c r="C152" s="218"/>
      <c r="D152" s="218"/>
      <c r="E152" s="218"/>
      <c r="F152" s="218"/>
      <c r="G152" s="218"/>
      <c r="H152" s="218"/>
      <c r="I152" s="218"/>
      <c r="J152" s="218"/>
      <c r="K152" s="218"/>
      <c r="L152" s="218"/>
      <c r="M152" s="219"/>
    </row>
    <row r="153" spans="2:13" x14ac:dyDescent="0.25">
      <c r="B153" s="217"/>
      <c r="C153" s="218"/>
      <c r="D153" s="218"/>
      <c r="E153" s="218"/>
      <c r="F153" s="218"/>
      <c r="G153" s="218"/>
      <c r="H153" s="218"/>
      <c r="I153" s="218"/>
      <c r="J153" s="218"/>
      <c r="K153" s="218"/>
      <c r="L153" s="218"/>
      <c r="M153" s="219"/>
    </row>
    <row r="154" spans="2:13" x14ac:dyDescent="0.25">
      <c r="B154" s="217"/>
      <c r="C154" s="218"/>
      <c r="D154" s="218"/>
      <c r="E154" s="218"/>
      <c r="F154" s="218"/>
      <c r="G154" s="218"/>
      <c r="H154" s="218"/>
      <c r="I154" s="218"/>
      <c r="J154" s="218"/>
      <c r="K154" s="218"/>
      <c r="L154" s="218"/>
      <c r="M154" s="219"/>
    </row>
    <row r="155" spans="2:13" x14ac:dyDescent="0.25">
      <c r="B155" s="217"/>
      <c r="C155" s="218"/>
      <c r="D155" s="218"/>
      <c r="E155" s="218"/>
      <c r="F155" s="218"/>
      <c r="G155" s="218"/>
      <c r="H155" s="218"/>
      <c r="I155" s="218"/>
      <c r="J155" s="218"/>
      <c r="K155" s="218"/>
      <c r="L155" s="218"/>
      <c r="M155" s="219"/>
    </row>
    <row r="156" spans="2:13" x14ac:dyDescent="0.25">
      <c r="B156" s="217"/>
      <c r="C156" s="218"/>
      <c r="D156" s="218"/>
      <c r="E156" s="218"/>
      <c r="F156" s="218"/>
      <c r="G156" s="218"/>
      <c r="H156" s="218"/>
      <c r="I156" s="218"/>
      <c r="J156" s="218"/>
      <c r="K156" s="218"/>
      <c r="L156" s="218"/>
      <c r="M156" s="219"/>
    </row>
    <row r="157" spans="2:13" x14ac:dyDescent="0.25">
      <c r="B157" s="217"/>
      <c r="C157" s="218"/>
      <c r="D157" s="218"/>
      <c r="E157" s="218"/>
      <c r="F157" s="218"/>
      <c r="G157" s="218"/>
      <c r="H157" s="218"/>
      <c r="I157" s="218"/>
      <c r="J157" s="218"/>
      <c r="K157" s="218"/>
      <c r="L157" s="218"/>
      <c r="M157" s="219"/>
    </row>
    <row r="158" spans="2:13" x14ac:dyDescent="0.25">
      <c r="B158" s="217"/>
      <c r="C158" s="218"/>
      <c r="D158" s="218"/>
      <c r="E158" s="218"/>
      <c r="F158" s="218"/>
      <c r="G158" s="218"/>
      <c r="H158" s="218"/>
      <c r="I158" s="218"/>
      <c r="J158" s="218"/>
      <c r="K158" s="218"/>
      <c r="L158" s="218"/>
      <c r="M158" s="219"/>
    </row>
    <row r="159" spans="2:13" x14ac:dyDescent="0.25">
      <c r="B159" s="217"/>
      <c r="C159" s="218"/>
      <c r="D159" s="218"/>
      <c r="E159" s="218"/>
      <c r="F159" s="218"/>
      <c r="G159" s="218"/>
      <c r="H159" s="218"/>
      <c r="I159" s="218"/>
      <c r="J159" s="218"/>
      <c r="K159" s="218"/>
      <c r="L159" s="218"/>
      <c r="M159" s="219"/>
    </row>
    <row r="160" spans="2:13" x14ac:dyDescent="0.25">
      <c r="B160" s="217"/>
      <c r="C160" s="218"/>
      <c r="D160" s="218"/>
      <c r="E160" s="218"/>
      <c r="F160" s="218"/>
      <c r="G160" s="218"/>
      <c r="H160" s="218"/>
      <c r="I160" s="218"/>
      <c r="J160" s="218"/>
      <c r="K160" s="218"/>
      <c r="L160" s="218"/>
      <c r="M160" s="219"/>
    </row>
    <row r="161" spans="2:13" x14ac:dyDescent="0.25">
      <c r="B161" s="217"/>
      <c r="C161" s="218"/>
      <c r="D161" s="218"/>
      <c r="E161" s="218"/>
      <c r="F161" s="218"/>
      <c r="G161" s="218"/>
      <c r="H161" s="218"/>
      <c r="I161" s="218"/>
      <c r="J161" s="218"/>
      <c r="K161" s="218"/>
      <c r="L161" s="218"/>
      <c r="M161" s="219"/>
    </row>
    <row r="162" spans="2:13" x14ac:dyDescent="0.25">
      <c r="B162" s="217"/>
      <c r="C162" s="218"/>
      <c r="D162" s="218"/>
      <c r="E162" s="218"/>
      <c r="F162" s="218"/>
      <c r="G162" s="218"/>
      <c r="H162" s="218"/>
      <c r="I162" s="218"/>
      <c r="J162" s="218"/>
      <c r="K162" s="218"/>
      <c r="L162" s="218"/>
      <c r="M162" s="219"/>
    </row>
    <row r="163" spans="2:13" x14ac:dyDescent="0.25">
      <c r="B163" s="217"/>
      <c r="C163" s="218"/>
      <c r="D163" s="218"/>
      <c r="E163" s="218"/>
      <c r="F163" s="218"/>
      <c r="G163" s="218"/>
      <c r="H163" s="218"/>
      <c r="I163" s="218"/>
      <c r="J163" s="218"/>
      <c r="K163" s="218"/>
      <c r="L163" s="218"/>
      <c r="M163" s="219"/>
    </row>
    <row r="164" spans="2:13" x14ac:dyDescent="0.25">
      <c r="B164" s="217"/>
      <c r="C164" s="218"/>
      <c r="D164" s="218"/>
      <c r="E164" s="218"/>
      <c r="F164" s="218"/>
      <c r="G164" s="218"/>
      <c r="H164" s="218"/>
      <c r="I164" s="218"/>
      <c r="J164" s="218"/>
      <c r="K164" s="218"/>
      <c r="L164" s="218"/>
      <c r="M164" s="219"/>
    </row>
    <row r="165" spans="2:13" x14ac:dyDescent="0.25">
      <c r="B165" s="217"/>
      <c r="C165" s="218"/>
      <c r="D165" s="218"/>
      <c r="E165" s="218"/>
      <c r="F165" s="218"/>
      <c r="G165" s="218"/>
      <c r="H165" s="218"/>
      <c r="I165" s="218"/>
      <c r="J165" s="218"/>
      <c r="K165" s="218"/>
      <c r="L165" s="218"/>
      <c r="M165" s="219"/>
    </row>
    <row r="166" spans="2:13" x14ac:dyDescent="0.25">
      <c r="B166" s="217"/>
      <c r="C166" s="218"/>
      <c r="D166" s="218"/>
      <c r="E166" s="218"/>
      <c r="F166" s="218"/>
      <c r="G166" s="218"/>
      <c r="H166" s="218"/>
      <c r="I166" s="218"/>
      <c r="J166" s="218"/>
      <c r="K166" s="218"/>
      <c r="L166" s="218"/>
      <c r="M166" s="219"/>
    </row>
    <row r="167" spans="2:13" ht="15" customHeight="1" x14ac:dyDescent="0.25">
      <c r="B167" s="220"/>
      <c r="C167" s="221"/>
      <c r="D167" s="221"/>
      <c r="E167" s="221"/>
      <c r="F167" s="221"/>
      <c r="G167" s="221"/>
      <c r="H167" s="221"/>
      <c r="I167" s="221"/>
      <c r="J167" s="221"/>
      <c r="K167" s="221"/>
      <c r="L167" s="221"/>
      <c r="M167" s="222"/>
    </row>
    <row r="168" spans="2:13" ht="15" customHeight="1" x14ac:dyDescent="0.25">
      <c r="B168" s="220"/>
      <c r="C168" s="221"/>
      <c r="D168" s="221"/>
      <c r="E168" s="221"/>
      <c r="F168" s="221"/>
      <c r="G168" s="221"/>
      <c r="H168" s="221"/>
      <c r="I168" s="221"/>
      <c r="J168" s="221"/>
      <c r="K168" s="221"/>
      <c r="L168" s="221"/>
      <c r="M168" s="222"/>
    </row>
    <row r="169" spans="2:13" x14ac:dyDescent="0.25">
      <c r="B169" s="217"/>
      <c r="C169" s="218"/>
      <c r="D169" s="218"/>
      <c r="E169" s="218"/>
      <c r="F169" s="218"/>
      <c r="G169" s="218"/>
      <c r="H169" s="218"/>
      <c r="I169" s="218"/>
      <c r="J169" s="218"/>
      <c r="K169" s="218"/>
      <c r="L169" s="218"/>
      <c r="M169" s="219"/>
    </row>
    <row r="170" spans="2:13" x14ac:dyDescent="0.25">
      <c r="B170" s="217"/>
      <c r="C170" s="218"/>
      <c r="D170" s="218"/>
      <c r="E170" s="218"/>
      <c r="F170" s="218"/>
      <c r="G170" s="218"/>
      <c r="H170" s="218"/>
      <c r="I170" s="218"/>
      <c r="J170" s="218"/>
      <c r="K170" s="218"/>
      <c r="L170" s="218"/>
      <c r="M170" s="219"/>
    </row>
    <row r="171" spans="2:13" x14ac:dyDescent="0.25">
      <c r="B171" s="217"/>
      <c r="C171" s="218"/>
      <c r="D171" s="218"/>
      <c r="E171" s="218"/>
      <c r="F171" s="218"/>
      <c r="G171" s="218"/>
      <c r="H171" s="218"/>
      <c r="I171" s="218"/>
      <c r="J171" s="218"/>
      <c r="K171" s="218"/>
      <c r="L171" s="218"/>
      <c r="M171" s="219"/>
    </row>
    <row r="172" spans="2:13" x14ac:dyDescent="0.25">
      <c r="B172" s="217"/>
      <c r="C172" s="218"/>
      <c r="D172" s="218"/>
      <c r="E172" s="218"/>
      <c r="F172" s="218"/>
      <c r="G172" s="218"/>
      <c r="H172" s="218"/>
      <c r="I172" s="218"/>
      <c r="J172" s="218"/>
      <c r="K172" s="218"/>
      <c r="L172" s="218"/>
      <c r="M172" s="219"/>
    </row>
    <row r="173" spans="2:13" x14ac:dyDescent="0.25">
      <c r="B173" s="217"/>
      <c r="C173" s="218"/>
      <c r="D173" s="218"/>
      <c r="E173" s="218"/>
      <c r="F173" s="218"/>
      <c r="G173" s="218"/>
      <c r="H173" s="218"/>
      <c r="I173" s="218"/>
      <c r="J173" s="218"/>
      <c r="K173" s="218"/>
      <c r="L173" s="218"/>
      <c r="M173" s="219"/>
    </row>
    <row r="174" spans="2:13" x14ac:dyDescent="0.25">
      <c r="B174" s="217"/>
      <c r="C174" s="218"/>
      <c r="D174" s="218"/>
      <c r="E174" s="218"/>
      <c r="F174" s="218"/>
      <c r="G174" s="218"/>
      <c r="H174" s="218"/>
      <c r="I174" s="218"/>
      <c r="J174" s="218"/>
      <c r="K174" s="218"/>
      <c r="L174" s="218"/>
      <c r="M174" s="219"/>
    </row>
    <row r="175" spans="2:13" x14ac:dyDescent="0.25">
      <c r="B175" s="217"/>
      <c r="C175" s="218"/>
      <c r="D175" s="218"/>
      <c r="E175" s="218"/>
      <c r="F175" s="218"/>
      <c r="G175" s="218"/>
      <c r="H175" s="218"/>
      <c r="I175" s="218"/>
      <c r="J175" s="218"/>
      <c r="K175" s="218"/>
      <c r="L175" s="218"/>
      <c r="M175" s="219"/>
    </row>
    <row r="176" spans="2:13" x14ac:dyDescent="0.25">
      <c r="B176" s="217"/>
      <c r="C176" s="218"/>
      <c r="D176" s="218"/>
      <c r="E176" s="218"/>
      <c r="F176" s="218"/>
      <c r="G176" s="218"/>
      <c r="H176" s="218"/>
      <c r="I176" s="218"/>
      <c r="J176" s="218"/>
      <c r="K176" s="218"/>
      <c r="L176" s="218"/>
      <c r="M176" s="219"/>
    </row>
    <row r="177" spans="2:13" x14ac:dyDescent="0.25">
      <c r="B177" s="217"/>
      <c r="C177" s="218"/>
      <c r="D177" s="218"/>
      <c r="E177" s="218"/>
      <c r="F177" s="218"/>
      <c r="G177" s="218"/>
      <c r="H177" s="218"/>
      <c r="I177" s="218"/>
      <c r="J177" s="218"/>
      <c r="K177" s="218"/>
      <c r="L177" s="218"/>
      <c r="M177" s="219"/>
    </row>
    <row r="178" spans="2:13" x14ac:dyDescent="0.25">
      <c r="B178" s="217"/>
      <c r="C178" s="218"/>
      <c r="D178" s="218"/>
      <c r="E178" s="218"/>
      <c r="F178" s="218"/>
      <c r="G178" s="218"/>
      <c r="H178" s="218"/>
      <c r="I178" s="218"/>
      <c r="J178" s="218"/>
      <c r="K178" s="218"/>
      <c r="L178" s="218"/>
      <c r="M178" s="219"/>
    </row>
    <row r="179" spans="2:13" x14ac:dyDescent="0.25">
      <c r="B179" s="217"/>
      <c r="C179" s="218"/>
      <c r="D179" s="218"/>
      <c r="E179" s="218"/>
      <c r="F179" s="218"/>
      <c r="G179" s="218"/>
      <c r="H179" s="218"/>
      <c r="I179" s="218"/>
      <c r="J179" s="218"/>
      <c r="K179" s="218"/>
      <c r="L179" s="218"/>
      <c r="M179" s="219"/>
    </row>
    <row r="180" spans="2:13" x14ac:dyDescent="0.25">
      <c r="B180" s="217"/>
      <c r="C180" s="218"/>
      <c r="D180" s="218"/>
      <c r="E180" s="218"/>
      <c r="F180" s="218"/>
      <c r="G180" s="218"/>
      <c r="H180" s="218"/>
      <c r="I180" s="218"/>
      <c r="J180" s="218"/>
      <c r="K180" s="218"/>
      <c r="L180" s="218"/>
      <c r="M180" s="219"/>
    </row>
    <row r="181" spans="2:13" x14ac:dyDescent="0.25">
      <c r="B181" s="217"/>
      <c r="C181" s="218"/>
      <c r="D181" s="218"/>
      <c r="E181" s="218"/>
      <c r="F181" s="218"/>
      <c r="G181" s="218"/>
      <c r="H181" s="218"/>
      <c r="I181" s="218"/>
      <c r="J181" s="218"/>
      <c r="K181" s="218"/>
      <c r="L181" s="218"/>
      <c r="M181" s="219"/>
    </row>
    <row r="182" spans="2:13" x14ac:dyDescent="0.25">
      <c r="B182" s="217"/>
      <c r="C182" s="218"/>
      <c r="D182" s="218"/>
      <c r="E182" s="218"/>
      <c r="F182" s="218"/>
      <c r="G182" s="218"/>
      <c r="H182" s="218"/>
      <c r="I182" s="218"/>
      <c r="J182" s="218"/>
      <c r="K182" s="218"/>
      <c r="L182" s="218"/>
      <c r="M182" s="219"/>
    </row>
    <row r="183" spans="2:13" x14ac:dyDescent="0.25">
      <c r="B183" s="217"/>
      <c r="C183" s="218"/>
      <c r="D183" s="218"/>
      <c r="E183" s="218"/>
      <c r="F183" s="218"/>
      <c r="G183" s="218"/>
      <c r="H183" s="218"/>
      <c r="I183" s="218"/>
      <c r="J183" s="218"/>
      <c r="K183" s="218"/>
      <c r="L183" s="218"/>
      <c r="M183" s="219"/>
    </row>
    <row r="184" spans="2:13" x14ac:dyDescent="0.25">
      <c r="B184" s="217"/>
      <c r="C184" s="218"/>
      <c r="D184" s="218"/>
      <c r="E184" s="218"/>
      <c r="F184" s="218"/>
      <c r="G184" s="218"/>
      <c r="H184" s="218"/>
      <c r="I184" s="218"/>
      <c r="J184" s="218"/>
      <c r="K184" s="218"/>
      <c r="L184" s="218"/>
      <c r="M184" s="219"/>
    </row>
    <row r="185" spans="2:13" x14ac:dyDescent="0.25">
      <c r="B185" s="217"/>
      <c r="C185" s="218"/>
      <c r="D185" s="218"/>
      <c r="E185" s="218"/>
      <c r="F185" s="218"/>
      <c r="G185" s="218"/>
      <c r="H185" s="218"/>
      <c r="I185" s="218"/>
      <c r="J185" s="218"/>
      <c r="K185" s="218"/>
      <c r="L185" s="218"/>
      <c r="M185" s="219"/>
    </row>
    <row r="186" spans="2:13" x14ac:dyDescent="0.25">
      <c r="B186" s="217"/>
      <c r="C186" s="218"/>
      <c r="D186" s="218"/>
      <c r="E186" s="218"/>
      <c r="F186" s="218"/>
      <c r="G186" s="218"/>
      <c r="H186" s="218"/>
      <c r="I186" s="218"/>
      <c r="J186" s="218"/>
      <c r="K186" s="218"/>
      <c r="L186" s="218"/>
      <c r="M186" s="219"/>
    </row>
    <row r="187" spans="2:13" x14ac:dyDescent="0.25">
      <c r="B187" s="217"/>
      <c r="C187" s="218"/>
      <c r="D187" s="218"/>
      <c r="E187" s="218"/>
      <c r="F187" s="218"/>
      <c r="G187" s="218"/>
      <c r="H187" s="218"/>
      <c r="I187" s="218"/>
      <c r="J187" s="218"/>
      <c r="K187" s="218"/>
      <c r="L187" s="218"/>
      <c r="M187" s="219"/>
    </row>
    <row r="188" spans="2:13" x14ac:dyDescent="0.25">
      <c r="B188" s="217"/>
      <c r="C188" s="218"/>
      <c r="D188" s="218"/>
      <c r="E188" s="218"/>
      <c r="F188" s="218"/>
      <c r="G188" s="218"/>
      <c r="H188" s="218"/>
      <c r="I188" s="218"/>
      <c r="J188" s="218"/>
      <c r="K188" s="218"/>
      <c r="L188" s="218"/>
      <c r="M188" s="219"/>
    </row>
    <row r="189" spans="2:13" x14ac:dyDescent="0.25">
      <c r="B189" s="217"/>
      <c r="C189" s="218"/>
      <c r="D189" s="218"/>
      <c r="E189" s="218"/>
      <c r="F189" s="218"/>
      <c r="G189" s="218"/>
      <c r="H189" s="218"/>
      <c r="I189" s="218"/>
      <c r="J189" s="218"/>
      <c r="K189" s="218"/>
      <c r="L189" s="218"/>
      <c r="M189" s="219"/>
    </row>
    <row r="190" spans="2:13" x14ac:dyDescent="0.25">
      <c r="B190" s="217"/>
      <c r="C190" s="218"/>
      <c r="D190" s="218"/>
      <c r="E190" s="218"/>
      <c r="F190" s="218"/>
      <c r="G190" s="218"/>
      <c r="H190" s="218"/>
      <c r="I190" s="218"/>
      <c r="J190" s="218"/>
      <c r="K190" s="218"/>
      <c r="L190" s="218"/>
      <c r="M190" s="219"/>
    </row>
    <row r="191" spans="2:13" x14ac:dyDescent="0.25">
      <c r="B191" s="217"/>
      <c r="C191" s="218"/>
      <c r="D191" s="218"/>
      <c r="E191" s="218"/>
      <c r="F191" s="218"/>
      <c r="G191" s="218"/>
      <c r="H191" s="218"/>
      <c r="I191" s="218"/>
      <c r="J191" s="218"/>
      <c r="K191" s="218"/>
      <c r="L191" s="218"/>
      <c r="M191" s="219"/>
    </row>
    <row r="192" spans="2:13" x14ac:dyDescent="0.25">
      <c r="B192" s="217"/>
      <c r="C192" s="218"/>
      <c r="D192" s="218"/>
      <c r="E192" s="218"/>
      <c r="F192" s="218"/>
      <c r="G192" s="218"/>
      <c r="H192" s="218"/>
      <c r="I192" s="218"/>
      <c r="J192" s="218"/>
      <c r="K192" s="218"/>
      <c r="L192" s="218"/>
      <c r="M192" s="219"/>
    </row>
    <row r="193" spans="2:13" x14ac:dyDescent="0.25">
      <c r="B193" s="217"/>
      <c r="C193" s="218"/>
      <c r="D193" s="218"/>
      <c r="E193" s="218"/>
      <c r="F193" s="218"/>
      <c r="G193" s="218"/>
      <c r="H193" s="218"/>
      <c r="I193" s="218"/>
      <c r="J193" s="218"/>
      <c r="K193" s="218"/>
      <c r="L193" s="218"/>
      <c r="M193" s="219"/>
    </row>
    <row r="194" spans="2:13" x14ac:dyDescent="0.25">
      <c r="B194" s="217"/>
      <c r="C194" s="218"/>
      <c r="D194" s="218"/>
      <c r="E194" s="218"/>
      <c r="F194" s="218"/>
      <c r="G194" s="218"/>
      <c r="H194" s="218"/>
      <c r="I194" s="218"/>
      <c r="J194" s="218"/>
      <c r="K194" s="218"/>
      <c r="L194" s="218"/>
      <c r="M194" s="219"/>
    </row>
    <row r="195" spans="2:13" x14ac:dyDescent="0.25">
      <c r="B195" s="217"/>
      <c r="C195" s="218"/>
      <c r="D195" s="218"/>
      <c r="E195" s="218"/>
      <c r="F195" s="218"/>
      <c r="G195" s="218"/>
      <c r="H195" s="218"/>
      <c r="I195" s="218"/>
      <c r="J195" s="218"/>
      <c r="K195" s="218"/>
      <c r="L195" s="218"/>
      <c r="M195" s="219"/>
    </row>
    <row r="196" spans="2:13" x14ac:dyDescent="0.25">
      <c r="B196" s="217"/>
      <c r="C196" s="218"/>
      <c r="D196" s="218"/>
      <c r="E196" s="218"/>
      <c r="F196" s="218"/>
      <c r="G196" s="218"/>
      <c r="H196" s="218"/>
      <c r="I196" s="218"/>
      <c r="J196" s="218"/>
      <c r="K196" s="218"/>
      <c r="L196" s="218"/>
      <c r="M196" s="219"/>
    </row>
    <row r="197" spans="2:13" ht="15" customHeight="1" x14ac:dyDescent="0.25">
      <c r="B197" s="220"/>
      <c r="C197" s="221"/>
      <c r="D197" s="221"/>
      <c r="E197" s="221"/>
      <c r="F197" s="221"/>
      <c r="G197" s="221"/>
      <c r="H197" s="221"/>
      <c r="I197" s="221"/>
      <c r="J197" s="221"/>
      <c r="K197" s="221"/>
      <c r="L197" s="221"/>
      <c r="M197" s="222"/>
    </row>
    <row r="198" spans="2:13" ht="15.75" customHeight="1" thickBot="1" x14ac:dyDescent="0.3">
      <c r="B198" s="223"/>
      <c r="C198" s="224"/>
      <c r="D198" s="224"/>
      <c r="E198" s="224"/>
      <c r="F198" s="224"/>
      <c r="G198" s="224"/>
      <c r="H198" s="224"/>
      <c r="I198" s="224"/>
      <c r="J198" s="224"/>
      <c r="K198" s="224"/>
      <c r="L198" s="224"/>
      <c r="M198" s="225"/>
    </row>
    <row r="200" spans="2:13" x14ac:dyDescent="0.25">
      <c r="B200" s="61" t="s">
        <v>6</v>
      </c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</row>
    <row r="201" spans="2:13" x14ac:dyDescent="0.25"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</row>
    <row r="202" spans="2:13" ht="15.75" thickBot="1" x14ac:dyDescent="0.3"/>
    <row r="203" spans="2:13" ht="15.75" x14ac:dyDescent="0.25">
      <c r="B203" s="62"/>
      <c r="C203" s="63"/>
      <c r="D203" s="64"/>
      <c r="E203" s="69" t="s">
        <v>7</v>
      </c>
      <c r="F203" s="70"/>
      <c r="G203" s="71"/>
      <c r="H203" s="72" t="s">
        <v>435</v>
      </c>
      <c r="I203" s="73"/>
      <c r="J203" s="73"/>
      <c r="K203" s="73"/>
      <c r="L203" s="74" t="s">
        <v>19</v>
      </c>
      <c r="M203" s="75"/>
    </row>
    <row r="204" spans="2:13" ht="15" customHeight="1" x14ac:dyDescent="0.25">
      <c r="B204" s="59"/>
      <c r="C204" s="60"/>
      <c r="D204" s="65"/>
      <c r="E204" s="76" t="s">
        <v>8</v>
      </c>
      <c r="F204" s="77"/>
      <c r="G204" s="78"/>
      <c r="H204" s="79" t="s">
        <v>11</v>
      </c>
      <c r="I204" s="80"/>
      <c r="J204" s="80"/>
      <c r="K204" s="80"/>
      <c r="L204" s="81" t="s">
        <v>59</v>
      </c>
      <c r="M204" s="82"/>
    </row>
    <row r="205" spans="2:13" ht="15" customHeight="1" x14ac:dyDescent="0.25">
      <c r="B205" s="59"/>
      <c r="C205" s="60"/>
      <c r="D205" s="65"/>
      <c r="E205" s="76" t="s">
        <v>10</v>
      </c>
      <c r="F205" s="77"/>
      <c r="G205" s="78"/>
      <c r="H205" s="79" t="s">
        <v>12</v>
      </c>
      <c r="I205" s="80"/>
      <c r="J205" s="80"/>
      <c r="K205" s="80"/>
      <c r="L205" s="83"/>
      <c r="M205" s="84"/>
    </row>
    <row r="206" spans="2:13" ht="15.75" customHeight="1" thickBot="1" x14ac:dyDescent="0.3">
      <c r="B206" s="66"/>
      <c r="C206" s="67"/>
      <c r="D206" s="68"/>
      <c r="E206" s="87" t="s">
        <v>9</v>
      </c>
      <c r="F206" s="88"/>
      <c r="G206" s="89"/>
      <c r="H206" s="90" t="s">
        <v>60</v>
      </c>
      <c r="I206" s="91"/>
      <c r="J206" s="91"/>
      <c r="K206" s="91"/>
      <c r="L206" s="85"/>
      <c r="M206" s="86"/>
    </row>
    <row r="207" spans="2:13" ht="15.75" thickBot="1" x14ac:dyDescent="0.3"/>
    <row r="208" spans="2:13" ht="18.75" x14ac:dyDescent="0.25">
      <c r="B208" s="56" t="s">
        <v>18</v>
      </c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8"/>
    </row>
    <row r="209" spans="2:13" x14ac:dyDescent="0.25">
      <c r="B209" s="226" t="s">
        <v>438</v>
      </c>
      <c r="C209" s="227"/>
      <c r="D209" s="227"/>
      <c r="E209" s="227"/>
      <c r="F209" s="227"/>
      <c r="G209" s="227"/>
      <c r="H209" s="227"/>
      <c r="I209" s="227"/>
      <c r="J209" s="227"/>
      <c r="K209" s="227"/>
      <c r="L209" s="227"/>
      <c r="M209" s="228"/>
    </row>
    <row r="210" spans="2:13" ht="15" customHeight="1" x14ac:dyDescent="0.25">
      <c r="B210" s="226"/>
      <c r="C210" s="227"/>
      <c r="D210" s="227"/>
      <c r="E210" s="227"/>
      <c r="F210" s="227"/>
      <c r="G210" s="227"/>
      <c r="H210" s="227"/>
      <c r="I210" s="227"/>
      <c r="J210" s="227"/>
      <c r="K210" s="227"/>
      <c r="L210" s="227"/>
      <c r="M210" s="228"/>
    </row>
    <row r="211" spans="2:13" ht="15" customHeight="1" x14ac:dyDescent="0.25">
      <c r="B211" s="217"/>
      <c r="C211" s="218"/>
      <c r="D211" s="218"/>
      <c r="E211" s="218"/>
      <c r="F211" s="218"/>
      <c r="G211" s="218"/>
      <c r="H211" s="218"/>
      <c r="I211" s="218"/>
      <c r="J211" s="218"/>
      <c r="K211" s="218"/>
      <c r="L211" s="218"/>
      <c r="M211" s="219"/>
    </row>
    <row r="212" spans="2:13" x14ac:dyDescent="0.25">
      <c r="B212" s="217"/>
      <c r="C212" s="218"/>
      <c r="D212" s="218"/>
      <c r="E212" s="218"/>
      <c r="F212" s="218"/>
      <c r="G212" s="218"/>
      <c r="H212" s="218"/>
      <c r="I212" s="218"/>
      <c r="J212" s="218"/>
      <c r="K212" s="218"/>
      <c r="L212" s="218"/>
      <c r="M212" s="219"/>
    </row>
    <row r="213" spans="2:13" x14ac:dyDescent="0.25">
      <c r="B213" s="217"/>
      <c r="C213" s="218"/>
      <c r="D213" s="218"/>
      <c r="E213" s="218"/>
      <c r="F213" s="218"/>
      <c r="G213" s="218"/>
      <c r="H213" s="218"/>
      <c r="I213" s="218"/>
      <c r="J213" s="218"/>
      <c r="K213" s="218"/>
      <c r="L213" s="218"/>
      <c r="M213" s="219"/>
    </row>
    <row r="214" spans="2:13" x14ac:dyDescent="0.25">
      <c r="B214" s="217"/>
      <c r="C214" s="218"/>
      <c r="D214" s="218"/>
      <c r="E214" s="218"/>
      <c r="F214" s="218"/>
      <c r="G214" s="218"/>
      <c r="H214" s="218"/>
      <c r="I214" s="218"/>
      <c r="J214" s="218"/>
      <c r="K214" s="218"/>
      <c r="L214" s="218"/>
      <c r="M214" s="219"/>
    </row>
    <row r="215" spans="2:13" x14ac:dyDescent="0.25">
      <c r="B215" s="217"/>
      <c r="C215" s="218"/>
      <c r="D215" s="218"/>
      <c r="E215" s="218"/>
      <c r="F215" s="218"/>
      <c r="G215" s="218"/>
      <c r="H215" s="218"/>
      <c r="I215" s="218"/>
      <c r="J215" s="218"/>
      <c r="K215" s="218"/>
      <c r="L215" s="218"/>
      <c r="M215" s="219"/>
    </row>
    <row r="216" spans="2:13" x14ac:dyDescent="0.25">
      <c r="B216" s="217"/>
      <c r="C216" s="218"/>
      <c r="D216" s="218"/>
      <c r="E216" s="218"/>
      <c r="F216" s="218"/>
      <c r="G216" s="218"/>
      <c r="H216" s="218"/>
      <c r="I216" s="218"/>
      <c r="J216" s="218"/>
      <c r="K216" s="218"/>
      <c r="L216" s="218"/>
      <c r="M216" s="219"/>
    </row>
    <row r="217" spans="2:13" x14ac:dyDescent="0.25">
      <c r="B217" s="217"/>
      <c r="C217" s="218"/>
      <c r="D217" s="218"/>
      <c r="E217" s="218"/>
      <c r="F217" s="218"/>
      <c r="G217" s="218"/>
      <c r="H217" s="218"/>
      <c r="I217" s="218"/>
      <c r="J217" s="218"/>
      <c r="K217" s="218"/>
      <c r="L217" s="218"/>
      <c r="M217" s="219"/>
    </row>
    <row r="218" spans="2:13" x14ac:dyDescent="0.25">
      <c r="B218" s="217"/>
      <c r="C218" s="218"/>
      <c r="D218" s="218"/>
      <c r="E218" s="218"/>
      <c r="F218" s="218"/>
      <c r="G218" s="218"/>
      <c r="H218" s="218"/>
      <c r="I218" s="218"/>
      <c r="J218" s="218"/>
      <c r="K218" s="218"/>
      <c r="L218" s="218"/>
      <c r="M218" s="219"/>
    </row>
    <row r="219" spans="2:13" x14ac:dyDescent="0.25">
      <c r="B219" s="217"/>
      <c r="C219" s="218"/>
      <c r="D219" s="218"/>
      <c r="E219" s="218"/>
      <c r="F219" s="218"/>
      <c r="G219" s="218"/>
      <c r="H219" s="218"/>
      <c r="I219" s="218"/>
      <c r="J219" s="218"/>
      <c r="K219" s="218"/>
      <c r="L219" s="218"/>
      <c r="M219" s="219"/>
    </row>
    <row r="220" spans="2:13" x14ac:dyDescent="0.25">
      <c r="B220" s="217"/>
      <c r="C220" s="218"/>
      <c r="D220" s="218"/>
      <c r="E220" s="218"/>
      <c r="F220" s="218"/>
      <c r="G220" s="218"/>
      <c r="H220" s="218"/>
      <c r="I220" s="218"/>
      <c r="J220" s="218"/>
      <c r="K220" s="218"/>
      <c r="L220" s="218"/>
      <c r="M220" s="219"/>
    </row>
    <row r="221" spans="2:13" x14ac:dyDescent="0.25">
      <c r="B221" s="217"/>
      <c r="C221" s="218"/>
      <c r="D221" s="218"/>
      <c r="E221" s="218"/>
      <c r="F221" s="218"/>
      <c r="G221" s="218"/>
      <c r="H221" s="218"/>
      <c r="I221" s="218"/>
      <c r="J221" s="218"/>
      <c r="K221" s="218"/>
      <c r="L221" s="218"/>
      <c r="M221" s="219"/>
    </row>
    <row r="222" spans="2:13" x14ac:dyDescent="0.25">
      <c r="B222" s="217"/>
      <c r="C222" s="218"/>
      <c r="D222" s="218"/>
      <c r="E222" s="218"/>
      <c r="F222" s="218"/>
      <c r="G222" s="218"/>
      <c r="H222" s="218"/>
      <c r="I222" s="218"/>
      <c r="J222" s="218"/>
      <c r="K222" s="218"/>
      <c r="L222" s="218"/>
      <c r="M222" s="219"/>
    </row>
    <row r="223" spans="2:13" x14ac:dyDescent="0.25">
      <c r="B223" s="217"/>
      <c r="C223" s="218"/>
      <c r="D223" s="218"/>
      <c r="E223" s="218"/>
      <c r="F223" s="218"/>
      <c r="G223" s="218"/>
      <c r="H223" s="218"/>
      <c r="I223" s="218"/>
      <c r="J223" s="218"/>
      <c r="K223" s="218"/>
      <c r="L223" s="218"/>
      <c r="M223" s="219"/>
    </row>
    <row r="224" spans="2:13" x14ac:dyDescent="0.25">
      <c r="B224" s="217"/>
      <c r="C224" s="218"/>
      <c r="D224" s="218"/>
      <c r="E224" s="218"/>
      <c r="F224" s="218"/>
      <c r="G224" s="218"/>
      <c r="H224" s="218"/>
      <c r="I224" s="218"/>
      <c r="J224" s="218"/>
      <c r="K224" s="218"/>
      <c r="L224" s="218"/>
      <c r="M224" s="219"/>
    </row>
    <row r="225" spans="2:13" x14ac:dyDescent="0.25">
      <c r="B225" s="217"/>
      <c r="C225" s="218"/>
      <c r="D225" s="218"/>
      <c r="E225" s="218"/>
      <c r="F225" s="218"/>
      <c r="G225" s="218"/>
      <c r="H225" s="218"/>
      <c r="I225" s="218"/>
      <c r="J225" s="218"/>
      <c r="K225" s="218"/>
      <c r="L225" s="218"/>
      <c r="M225" s="219"/>
    </row>
    <row r="226" spans="2:13" x14ac:dyDescent="0.25">
      <c r="B226" s="217"/>
      <c r="C226" s="218"/>
      <c r="D226" s="218"/>
      <c r="E226" s="218"/>
      <c r="F226" s="218"/>
      <c r="G226" s="218"/>
      <c r="H226" s="218"/>
      <c r="I226" s="218"/>
      <c r="J226" s="218"/>
      <c r="K226" s="218"/>
      <c r="L226" s="218"/>
      <c r="M226" s="219"/>
    </row>
    <row r="227" spans="2:13" x14ac:dyDescent="0.25">
      <c r="B227" s="217"/>
      <c r="C227" s="218"/>
      <c r="D227" s="218"/>
      <c r="E227" s="218"/>
      <c r="F227" s="218"/>
      <c r="G227" s="218"/>
      <c r="H227" s="218"/>
      <c r="I227" s="218"/>
      <c r="J227" s="218"/>
      <c r="K227" s="218"/>
      <c r="L227" s="218"/>
      <c r="M227" s="219"/>
    </row>
    <row r="228" spans="2:13" x14ac:dyDescent="0.25">
      <c r="B228" s="217"/>
      <c r="C228" s="218"/>
      <c r="D228" s="218"/>
      <c r="E228" s="218"/>
      <c r="F228" s="218"/>
      <c r="G228" s="218"/>
      <c r="H228" s="218"/>
      <c r="I228" s="218"/>
      <c r="J228" s="218"/>
      <c r="K228" s="218"/>
      <c r="L228" s="218"/>
      <c r="M228" s="219"/>
    </row>
    <row r="229" spans="2:13" x14ac:dyDescent="0.25">
      <c r="B229" s="217"/>
      <c r="C229" s="218"/>
      <c r="D229" s="218"/>
      <c r="E229" s="218"/>
      <c r="F229" s="218"/>
      <c r="G229" s="218"/>
      <c r="H229" s="218"/>
      <c r="I229" s="218"/>
      <c r="J229" s="218"/>
      <c r="K229" s="218"/>
      <c r="L229" s="218"/>
      <c r="M229" s="219"/>
    </row>
    <row r="230" spans="2:13" x14ac:dyDescent="0.25">
      <c r="B230" s="217"/>
      <c r="C230" s="218"/>
      <c r="D230" s="218"/>
      <c r="E230" s="218"/>
      <c r="F230" s="218"/>
      <c r="G230" s="218"/>
      <c r="H230" s="218"/>
      <c r="I230" s="218"/>
      <c r="J230" s="218"/>
      <c r="K230" s="218"/>
      <c r="L230" s="218"/>
      <c r="M230" s="219"/>
    </row>
    <row r="231" spans="2:13" x14ac:dyDescent="0.25">
      <c r="B231" s="217"/>
      <c r="C231" s="218"/>
      <c r="D231" s="218"/>
      <c r="E231" s="218"/>
      <c r="F231" s="218"/>
      <c r="G231" s="218"/>
      <c r="H231" s="218"/>
      <c r="I231" s="218"/>
      <c r="J231" s="218"/>
      <c r="K231" s="218"/>
      <c r="L231" s="218"/>
      <c r="M231" s="219"/>
    </row>
    <row r="232" spans="2:13" x14ac:dyDescent="0.25">
      <c r="B232" s="217"/>
      <c r="C232" s="218"/>
      <c r="D232" s="218"/>
      <c r="E232" s="218"/>
      <c r="F232" s="218"/>
      <c r="G232" s="218"/>
      <c r="H232" s="218"/>
      <c r="I232" s="218"/>
      <c r="J232" s="218"/>
      <c r="K232" s="218"/>
      <c r="L232" s="218"/>
      <c r="M232" s="219"/>
    </row>
    <row r="233" spans="2:13" x14ac:dyDescent="0.25">
      <c r="B233" s="217"/>
      <c r="C233" s="218"/>
      <c r="D233" s="218"/>
      <c r="E233" s="218"/>
      <c r="F233" s="218"/>
      <c r="G233" s="218"/>
      <c r="H233" s="218"/>
      <c r="I233" s="218"/>
      <c r="J233" s="218"/>
      <c r="K233" s="218"/>
      <c r="L233" s="218"/>
      <c r="M233" s="219"/>
    </row>
    <row r="234" spans="2:13" x14ac:dyDescent="0.25">
      <c r="B234" s="217"/>
      <c r="C234" s="218"/>
      <c r="D234" s="218"/>
      <c r="E234" s="218"/>
      <c r="F234" s="218"/>
      <c r="G234" s="218"/>
      <c r="H234" s="218"/>
      <c r="I234" s="218"/>
      <c r="J234" s="218"/>
      <c r="K234" s="218"/>
      <c r="L234" s="218"/>
      <c r="M234" s="219"/>
    </row>
    <row r="235" spans="2:13" x14ac:dyDescent="0.25">
      <c r="B235" s="217"/>
      <c r="C235" s="218"/>
      <c r="D235" s="218"/>
      <c r="E235" s="218"/>
      <c r="F235" s="218"/>
      <c r="G235" s="218"/>
      <c r="H235" s="218"/>
      <c r="I235" s="218"/>
      <c r="J235" s="218"/>
      <c r="K235" s="218"/>
      <c r="L235" s="218"/>
      <c r="M235" s="219"/>
    </row>
    <row r="236" spans="2:13" x14ac:dyDescent="0.25">
      <c r="B236" s="217"/>
      <c r="C236" s="218"/>
      <c r="D236" s="218"/>
      <c r="E236" s="218"/>
      <c r="F236" s="218"/>
      <c r="G236" s="218"/>
      <c r="H236" s="218"/>
      <c r="I236" s="218"/>
      <c r="J236" s="218"/>
      <c r="K236" s="218"/>
      <c r="L236" s="218"/>
      <c r="M236" s="219"/>
    </row>
    <row r="237" spans="2:13" x14ac:dyDescent="0.25">
      <c r="B237" s="217"/>
      <c r="C237" s="218"/>
      <c r="D237" s="218"/>
      <c r="E237" s="218"/>
      <c r="F237" s="218"/>
      <c r="G237" s="218"/>
      <c r="H237" s="218"/>
      <c r="I237" s="218"/>
      <c r="J237" s="218"/>
      <c r="K237" s="218"/>
      <c r="L237" s="218"/>
      <c r="M237" s="219"/>
    </row>
    <row r="238" spans="2:13" ht="15" customHeight="1" x14ac:dyDescent="0.25">
      <c r="B238" s="220"/>
      <c r="C238" s="221"/>
      <c r="D238" s="221"/>
      <c r="E238" s="221"/>
      <c r="F238" s="221"/>
      <c r="G238" s="221"/>
      <c r="H238" s="221"/>
      <c r="I238" s="221"/>
      <c r="J238" s="221"/>
      <c r="K238" s="221"/>
      <c r="L238" s="221"/>
      <c r="M238" s="222"/>
    </row>
    <row r="239" spans="2:13" ht="15" customHeight="1" x14ac:dyDescent="0.25">
      <c r="B239" s="220"/>
      <c r="C239" s="221"/>
      <c r="D239" s="221"/>
      <c r="E239" s="221"/>
      <c r="F239" s="221"/>
      <c r="G239" s="221"/>
      <c r="H239" s="221"/>
      <c r="I239" s="221"/>
      <c r="J239" s="221"/>
      <c r="K239" s="221"/>
      <c r="L239" s="221"/>
      <c r="M239" s="222"/>
    </row>
    <row r="240" spans="2:13" x14ac:dyDescent="0.25">
      <c r="B240" s="217"/>
      <c r="C240" s="218"/>
      <c r="D240" s="218"/>
      <c r="E240" s="218"/>
      <c r="F240" s="218"/>
      <c r="G240" s="218"/>
      <c r="H240" s="218"/>
      <c r="I240" s="218"/>
      <c r="J240" s="218"/>
      <c r="K240" s="218"/>
      <c r="L240" s="218"/>
      <c r="M240" s="219"/>
    </row>
    <row r="241" spans="2:13" x14ac:dyDescent="0.25">
      <c r="B241" s="217"/>
      <c r="C241" s="218"/>
      <c r="D241" s="218"/>
      <c r="E241" s="218"/>
      <c r="F241" s="218"/>
      <c r="G241" s="218"/>
      <c r="H241" s="218"/>
      <c r="I241" s="218"/>
      <c r="J241" s="218"/>
      <c r="K241" s="218"/>
      <c r="L241" s="218"/>
      <c r="M241" s="219"/>
    </row>
    <row r="242" spans="2:13" x14ac:dyDescent="0.25">
      <c r="B242" s="217"/>
      <c r="C242" s="218"/>
      <c r="D242" s="218"/>
      <c r="E242" s="218"/>
      <c r="F242" s="218"/>
      <c r="G242" s="218"/>
      <c r="H242" s="218"/>
      <c r="I242" s="218"/>
      <c r="J242" s="218"/>
      <c r="K242" s="218"/>
      <c r="L242" s="218"/>
      <c r="M242" s="219"/>
    </row>
    <row r="243" spans="2:13" x14ac:dyDescent="0.25">
      <c r="B243" s="217"/>
      <c r="C243" s="218"/>
      <c r="D243" s="218"/>
      <c r="E243" s="218"/>
      <c r="F243" s="218"/>
      <c r="G243" s="218"/>
      <c r="H243" s="218"/>
      <c r="I243" s="218"/>
      <c r="J243" s="218"/>
      <c r="K243" s="218"/>
      <c r="L243" s="218"/>
      <c r="M243" s="219"/>
    </row>
    <row r="244" spans="2:13" x14ac:dyDescent="0.25">
      <c r="B244" s="217"/>
      <c r="C244" s="218"/>
      <c r="D244" s="218"/>
      <c r="E244" s="218"/>
      <c r="F244" s="218"/>
      <c r="G244" s="218"/>
      <c r="H244" s="218"/>
      <c r="I244" s="218"/>
      <c r="J244" s="218"/>
      <c r="K244" s="218"/>
      <c r="L244" s="218"/>
      <c r="M244" s="219"/>
    </row>
    <row r="245" spans="2:13" x14ac:dyDescent="0.25">
      <c r="B245" s="217"/>
      <c r="C245" s="218"/>
      <c r="D245" s="218"/>
      <c r="E245" s="218"/>
      <c r="F245" s="218"/>
      <c r="G245" s="218"/>
      <c r="H245" s="218"/>
      <c r="I245" s="218"/>
      <c r="J245" s="218"/>
      <c r="K245" s="218"/>
      <c r="L245" s="218"/>
      <c r="M245" s="219"/>
    </row>
    <row r="246" spans="2:13" ht="15" customHeight="1" x14ac:dyDescent="0.25">
      <c r="B246" s="217"/>
      <c r="C246" s="218"/>
      <c r="D246" s="218"/>
      <c r="E246" s="218"/>
      <c r="F246" s="218"/>
      <c r="G246" s="218"/>
      <c r="H246" s="218"/>
      <c r="I246" s="218"/>
      <c r="J246" s="218"/>
      <c r="K246" s="218"/>
      <c r="L246" s="218"/>
      <c r="M246" s="219"/>
    </row>
    <row r="247" spans="2:13" ht="15" customHeight="1" x14ac:dyDescent="0.25">
      <c r="B247" s="217"/>
      <c r="C247" s="218"/>
      <c r="D247" s="218"/>
      <c r="E247" s="218"/>
      <c r="F247" s="218"/>
      <c r="G247" s="218"/>
      <c r="H247" s="218"/>
      <c r="I247" s="218"/>
      <c r="J247" s="218"/>
      <c r="K247" s="218"/>
      <c r="L247" s="218"/>
      <c r="M247" s="219"/>
    </row>
    <row r="248" spans="2:13" x14ac:dyDescent="0.25">
      <c r="B248" s="217"/>
      <c r="C248" s="218"/>
      <c r="D248" s="218"/>
      <c r="E248" s="218"/>
      <c r="F248" s="218"/>
      <c r="G248" s="218"/>
      <c r="H248" s="218"/>
      <c r="I248" s="218"/>
      <c r="J248" s="218"/>
      <c r="K248" s="218"/>
      <c r="L248" s="218"/>
      <c r="M248" s="219"/>
    </row>
    <row r="249" spans="2:13" x14ac:dyDescent="0.25">
      <c r="B249" s="217"/>
      <c r="C249" s="218"/>
      <c r="D249" s="218"/>
      <c r="E249" s="218"/>
      <c r="F249" s="218"/>
      <c r="G249" s="218"/>
      <c r="H249" s="218"/>
      <c r="I249" s="218"/>
      <c r="J249" s="218"/>
      <c r="K249" s="218"/>
      <c r="L249" s="218"/>
      <c r="M249" s="219"/>
    </row>
    <row r="250" spans="2:13" x14ac:dyDescent="0.25">
      <c r="B250" s="217"/>
      <c r="C250" s="218"/>
      <c r="D250" s="218"/>
      <c r="E250" s="218"/>
      <c r="F250" s="218"/>
      <c r="G250" s="218"/>
      <c r="H250" s="218"/>
      <c r="I250" s="218"/>
      <c r="J250" s="218"/>
      <c r="K250" s="218"/>
      <c r="L250" s="218"/>
      <c r="M250" s="219"/>
    </row>
    <row r="251" spans="2:13" x14ac:dyDescent="0.25">
      <c r="B251" s="217"/>
      <c r="C251" s="218"/>
      <c r="D251" s="218"/>
      <c r="E251" s="218"/>
      <c r="F251" s="218"/>
      <c r="G251" s="218"/>
      <c r="H251" s="218"/>
      <c r="I251" s="218"/>
      <c r="J251" s="218"/>
      <c r="K251" s="218"/>
      <c r="L251" s="218"/>
      <c r="M251" s="219"/>
    </row>
    <row r="252" spans="2:13" x14ac:dyDescent="0.25">
      <c r="B252" s="217"/>
      <c r="C252" s="218"/>
      <c r="D252" s="218"/>
      <c r="E252" s="218"/>
      <c r="F252" s="218"/>
      <c r="G252" s="218"/>
      <c r="H252" s="218"/>
      <c r="I252" s="218"/>
      <c r="J252" s="218"/>
      <c r="K252" s="218"/>
      <c r="L252" s="218"/>
      <c r="M252" s="219"/>
    </row>
    <row r="253" spans="2:13" x14ac:dyDescent="0.25">
      <c r="B253" s="217"/>
      <c r="C253" s="218"/>
      <c r="D253" s="218"/>
      <c r="E253" s="218"/>
      <c r="F253" s="218"/>
      <c r="G253" s="218"/>
      <c r="H253" s="218"/>
      <c r="I253" s="218"/>
      <c r="J253" s="218"/>
      <c r="K253" s="218"/>
      <c r="L253" s="218"/>
      <c r="M253" s="219"/>
    </row>
    <row r="254" spans="2:13" x14ac:dyDescent="0.25">
      <c r="B254" s="217"/>
      <c r="C254" s="218"/>
      <c r="D254" s="218"/>
      <c r="E254" s="218"/>
      <c r="F254" s="218"/>
      <c r="G254" s="218"/>
      <c r="H254" s="218"/>
      <c r="I254" s="218"/>
      <c r="J254" s="218"/>
      <c r="K254" s="218"/>
      <c r="L254" s="218"/>
      <c r="M254" s="219"/>
    </row>
    <row r="255" spans="2:13" x14ac:dyDescent="0.25">
      <c r="B255" s="217"/>
      <c r="C255" s="218"/>
      <c r="D255" s="218"/>
      <c r="E255" s="218"/>
      <c r="F255" s="218"/>
      <c r="G255" s="218"/>
      <c r="H255" s="218"/>
      <c r="I255" s="218"/>
      <c r="J255" s="218"/>
      <c r="K255" s="218"/>
      <c r="L255" s="218"/>
      <c r="M255" s="219"/>
    </row>
    <row r="256" spans="2:13" x14ac:dyDescent="0.25">
      <c r="B256" s="217"/>
      <c r="C256" s="218"/>
      <c r="D256" s="218"/>
      <c r="E256" s="218"/>
      <c r="F256" s="218"/>
      <c r="G256" s="218"/>
      <c r="H256" s="218"/>
      <c r="I256" s="218"/>
      <c r="J256" s="218"/>
      <c r="K256" s="218"/>
      <c r="L256" s="218"/>
      <c r="M256" s="219"/>
    </row>
    <row r="257" spans="2:13" x14ac:dyDescent="0.25">
      <c r="B257" s="217"/>
      <c r="C257" s="218"/>
      <c r="D257" s="218"/>
      <c r="E257" s="218"/>
      <c r="F257" s="218"/>
      <c r="G257" s="218"/>
      <c r="H257" s="218"/>
      <c r="I257" s="218"/>
      <c r="J257" s="218"/>
      <c r="K257" s="218"/>
      <c r="L257" s="218"/>
      <c r="M257" s="219"/>
    </row>
    <row r="258" spans="2:13" x14ac:dyDescent="0.25">
      <c r="B258" s="217"/>
      <c r="C258" s="218"/>
      <c r="D258" s="218"/>
      <c r="E258" s="218"/>
      <c r="F258" s="218"/>
      <c r="G258" s="218"/>
      <c r="H258" s="218"/>
      <c r="I258" s="218"/>
      <c r="J258" s="218"/>
      <c r="K258" s="218"/>
      <c r="L258" s="218"/>
      <c r="M258" s="219"/>
    </row>
    <row r="259" spans="2:13" x14ac:dyDescent="0.25">
      <c r="B259" s="217"/>
      <c r="C259" s="218"/>
      <c r="D259" s="218"/>
      <c r="E259" s="218"/>
      <c r="F259" s="218"/>
      <c r="G259" s="218"/>
      <c r="H259" s="218"/>
      <c r="I259" s="218"/>
      <c r="J259" s="218"/>
      <c r="K259" s="218"/>
      <c r="L259" s="218"/>
      <c r="M259" s="219"/>
    </row>
    <row r="260" spans="2:13" x14ac:dyDescent="0.25">
      <c r="B260" s="217"/>
      <c r="C260" s="218"/>
      <c r="D260" s="218"/>
      <c r="E260" s="218"/>
      <c r="F260" s="218"/>
      <c r="G260" s="218"/>
      <c r="H260" s="218"/>
      <c r="I260" s="218"/>
      <c r="J260" s="218"/>
      <c r="K260" s="218"/>
      <c r="L260" s="218"/>
      <c r="M260" s="219"/>
    </row>
    <row r="261" spans="2:13" x14ac:dyDescent="0.25">
      <c r="B261" s="217"/>
      <c r="C261" s="218"/>
      <c r="D261" s="218"/>
      <c r="E261" s="218"/>
      <c r="F261" s="218"/>
      <c r="G261" s="218"/>
      <c r="H261" s="218"/>
      <c r="I261" s="218"/>
      <c r="J261" s="218"/>
      <c r="K261" s="218"/>
      <c r="L261" s="218"/>
      <c r="M261" s="219"/>
    </row>
    <row r="262" spans="2:13" x14ac:dyDescent="0.25">
      <c r="B262" s="217"/>
      <c r="C262" s="218"/>
      <c r="D262" s="218"/>
      <c r="E262" s="218"/>
      <c r="F262" s="218"/>
      <c r="G262" s="218"/>
      <c r="H262" s="218"/>
      <c r="I262" s="218"/>
      <c r="J262" s="218"/>
      <c r="K262" s="218"/>
      <c r="L262" s="218"/>
      <c r="M262" s="219"/>
    </row>
    <row r="263" spans="2:13" x14ac:dyDescent="0.25">
      <c r="B263" s="217"/>
      <c r="C263" s="218"/>
      <c r="D263" s="218"/>
      <c r="E263" s="218"/>
      <c r="F263" s="218"/>
      <c r="G263" s="218"/>
      <c r="H263" s="218"/>
      <c r="I263" s="218"/>
      <c r="J263" s="218"/>
      <c r="K263" s="218"/>
      <c r="L263" s="218"/>
      <c r="M263" s="219"/>
    </row>
    <row r="264" spans="2:13" x14ac:dyDescent="0.25">
      <c r="B264" s="217"/>
      <c r="C264" s="218"/>
      <c r="D264" s="218"/>
      <c r="E264" s="218"/>
      <c r="F264" s="218"/>
      <c r="G264" s="218"/>
      <c r="H264" s="218"/>
      <c r="I264" s="218"/>
      <c r="J264" s="218"/>
      <c r="K264" s="218"/>
      <c r="L264" s="218"/>
      <c r="M264" s="219"/>
    </row>
    <row r="265" spans="2:13" ht="15" customHeight="1" x14ac:dyDescent="0.25">
      <c r="B265" s="217"/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9"/>
    </row>
    <row r="266" spans="2:13" ht="15" customHeight="1" x14ac:dyDescent="0.25">
      <c r="B266" s="217"/>
      <c r="C266" s="218"/>
      <c r="D266" s="218"/>
      <c r="E266" s="218"/>
      <c r="F266" s="218"/>
      <c r="G266" s="218"/>
      <c r="H266" s="218"/>
      <c r="I266" s="218"/>
      <c r="J266" s="218"/>
      <c r="K266" s="218"/>
      <c r="L266" s="218"/>
      <c r="M266" s="219"/>
    </row>
    <row r="267" spans="2:13" x14ac:dyDescent="0.25">
      <c r="B267" s="217"/>
      <c r="C267" s="218"/>
      <c r="D267" s="218"/>
      <c r="E267" s="218"/>
      <c r="F267" s="218"/>
      <c r="G267" s="218"/>
      <c r="H267" s="218"/>
      <c r="I267" s="218"/>
      <c r="J267" s="218"/>
      <c r="K267" s="218"/>
      <c r="L267" s="218"/>
      <c r="M267" s="219"/>
    </row>
    <row r="268" spans="2:13" ht="15" customHeight="1" x14ac:dyDescent="0.25">
      <c r="B268" s="220"/>
      <c r="C268" s="221"/>
      <c r="D268" s="221"/>
      <c r="E268" s="221"/>
      <c r="F268" s="221"/>
      <c r="G268" s="221"/>
      <c r="H268" s="221"/>
      <c r="I268" s="221"/>
      <c r="J268" s="221"/>
      <c r="K268" s="221"/>
      <c r="L268" s="221"/>
      <c r="M268" s="222"/>
    </row>
    <row r="269" spans="2:13" ht="15.75" customHeight="1" thickBot="1" x14ac:dyDescent="0.3">
      <c r="B269" s="223"/>
      <c r="C269" s="224"/>
      <c r="D269" s="224"/>
      <c r="E269" s="224"/>
      <c r="F269" s="224"/>
      <c r="G269" s="224"/>
      <c r="H269" s="224"/>
      <c r="I269" s="224"/>
      <c r="J269" s="224"/>
      <c r="K269" s="224"/>
      <c r="L269" s="224"/>
      <c r="M269" s="225"/>
    </row>
    <row r="271" spans="2:13" x14ac:dyDescent="0.25">
      <c r="B271" s="61" t="s">
        <v>6</v>
      </c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</row>
    <row r="272" spans="2:13" x14ac:dyDescent="0.25"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</row>
    <row r="273" spans="2:13" ht="15.75" thickBot="1" x14ac:dyDescent="0.3"/>
    <row r="274" spans="2:13" ht="15.75" x14ac:dyDescent="0.25">
      <c r="B274" s="62"/>
      <c r="C274" s="63"/>
      <c r="D274" s="64"/>
      <c r="E274" s="69" t="s">
        <v>7</v>
      </c>
      <c r="F274" s="70"/>
      <c r="G274" s="71"/>
      <c r="H274" s="72" t="s">
        <v>435</v>
      </c>
      <c r="I274" s="73"/>
      <c r="J274" s="73"/>
      <c r="K274" s="73"/>
      <c r="L274" s="74" t="s">
        <v>19</v>
      </c>
      <c r="M274" s="75"/>
    </row>
    <row r="275" spans="2:13" ht="15" customHeight="1" x14ac:dyDescent="0.25">
      <c r="B275" s="59"/>
      <c r="C275" s="60"/>
      <c r="D275" s="65"/>
      <c r="E275" s="76" t="s">
        <v>8</v>
      </c>
      <c r="F275" s="77"/>
      <c r="G275" s="78"/>
      <c r="H275" s="79" t="s">
        <v>11</v>
      </c>
      <c r="I275" s="80"/>
      <c r="J275" s="80"/>
      <c r="K275" s="80"/>
      <c r="L275" s="81" t="s">
        <v>59</v>
      </c>
      <c r="M275" s="82"/>
    </row>
    <row r="276" spans="2:13" ht="15" customHeight="1" x14ac:dyDescent="0.25">
      <c r="B276" s="59"/>
      <c r="C276" s="60"/>
      <c r="D276" s="65"/>
      <c r="E276" s="76" t="s">
        <v>10</v>
      </c>
      <c r="F276" s="77"/>
      <c r="G276" s="78"/>
      <c r="H276" s="79" t="s">
        <v>12</v>
      </c>
      <c r="I276" s="80"/>
      <c r="J276" s="80"/>
      <c r="K276" s="80"/>
      <c r="L276" s="83"/>
      <c r="M276" s="84"/>
    </row>
    <row r="277" spans="2:13" ht="15.75" customHeight="1" thickBot="1" x14ac:dyDescent="0.3">
      <c r="B277" s="66"/>
      <c r="C277" s="67"/>
      <c r="D277" s="68"/>
      <c r="E277" s="87" t="s">
        <v>9</v>
      </c>
      <c r="F277" s="88"/>
      <c r="G277" s="89"/>
      <c r="H277" s="90" t="s">
        <v>60</v>
      </c>
      <c r="I277" s="91"/>
      <c r="J277" s="91"/>
      <c r="K277" s="91"/>
      <c r="L277" s="85"/>
      <c r="M277" s="86"/>
    </row>
    <row r="278" spans="2:13" ht="15.75" thickBot="1" x14ac:dyDescent="0.3"/>
    <row r="279" spans="2:13" ht="18.75" x14ac:dyDescent="0.25">
      <c r="B279" s="56" t="s">
        <v>18</v>
      </c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8"/>
    </row>
    <row r="280" spans="2:13" x14ac:dyDescent="0.25">
      <c r="B280" s="226" t="s">
        <v>439</v>
      </c>
      <c r="C280" s="227"/>
      <c r="D280" s="227"/>
      <c r="E280" s="227"/>
      <c r="F280" s="227"/>
      <c r="G280" s="227"/>
      <c r="H280" s="227"/>
      <c r="I280" s="227"/>
      <c r="J280" s="227"/>
      <c r="K280" s="227"/>
      <c r="L280" s="227"/>
      <c r="M280" s="228"/>
    </row>
    <row r="281" spans="2:13" x14ac:dyDescent="0.25">
      <c r="B281" s="226"/>
      <c r="C281" s="227"/>
      <c r="D281" s="227"/>
      <c r="E281" s="227"/>
      <c r="F281" s="227"/>
      <c r="G281" s="227"/>
      <c r="H281" s="227"/>
      <c r="I281" s="227"/>
      <c r="J281" s="227"/>
      <c r="K281" s="227"/>
      <c r="L281" s="227"/>
      <c r="M281" s="228"/>
    </row>
    <row r="282" spans="2:13" x14ac:dyDescent="0.25">
      <c r="B282" s="217"/>
      <c r="C282" s="218"/>
      <c r="D282" s="218"/>
      <c r="E282" s="218"/>
      <c r="F282" s="218"/>
      <c r="G282" s="218"/>
      <c r="H282" s="218"/>
      <c r="I282" s="218"/>
      <c r="J282" s="218"/>
      <c r="K282" s="218"/>
      <c r="L282" s="218"/>
      <c r="M282" s="219"/>
    </row>
    <row r="283" spans="2:13" x14ac:dyDescent="0.25">
      <c r="B283" s="217"/>
      <c r="C283" s="218"/>
      <c r="D283" s="218"/>
      <c r="E283" s="218"/>
      <c r="F283" s="218"/>
      <c r="G283" s="218"/>
      <c r="H283" s="218"/>
      <c r="I283" s="218"/>
      <c r="J283" s="218"/>
      <c r="K283" s="218"/>
      <c r="L283" s="218"/>
      <c r="M283" s="219"/>
    </row>
    <row r="284" spans="2:13" x14ac:dyDescent="0.25">
      <c r="B284" s="217"/>
      <c r="C284" s="218"/>
      <c r="D284" s="218"/>
      <c r="E284" s="218"/>
      <c r="F284" s="218"/>
      <c r="G284" s="218"/>
      <c r="H284" s="218"/>
      <c r="I284" s="218"/>
      <c r="J284" s="218"/>
      <c r="K284" s="218"/>
      <c r="L284" s="218"/>
      <c r="M284" s="219"/>
    </row>
    <row r="285" spans="2:13" x14ac:dyDescent="0.25">
      <c r="B285" s="217"/>
      <c r="C285" s="218"/>
      <c r="D285" s="218"/>
      <c r="E285" s="218"/>
      <c r="F285" s="218"/>
      <c r="G285" s="218"/>
      <c r="H285" s="218"/>
      <c r="I285" s="218"/>
      <c r="J285" s="218"/>
      <c r="K285" s="218"/>
      <c r="L285" s="218"/>
      <c r="M285" s="219"/>
    </row>
    <row r="286" spans="2:13" x14ac:dyDescent="0.25">
      <c r="B286" s="217"/>
      <c r="C286" s="218"/>
      <c r="D286" s="218"/>
      <c r="E286" s="218"/>
      <c r="F286" s="218"/>
      <c r="G286" s="218"/>
      <c r="H286" s="218"/>
      <c r="I286" s="218"/>
      <c r="J286" s="218"/>
      <c r="K286" s="218"/>
      <c r="L286" s="218"/>
      <c r="M286" s="219"/>
    </row>
    <row r="287" spans="2:13" x14ac:dyDescent="0.25">
      <c r="B287" s="217"/>
      <c r="C287" s="218"/>
      <c r="D287" s="218"/>
      <c r="E287" s="218"/>
      <c r="F287" s="218"/>
      <c r="G287" s="218"/>
      <c r="H287" s="218"/>
      <c r="I287" s="218"/>
      <c r="J287" s="218"/>
      <c r="K287" s="218"/>
      <c r="L287" s="218"/>
      <c r="M287" s="219"/>
    </row>
    <row r="288" spans="2:13" x14ac:dyDescent="0.25">
      <c r="B288" s="217"/>
      <c r="C288" s="218"/>
      <c r="D288" s="218"/>
      <c r="E288" s="218"/>
      <c r="F288" s="218"/>
      <c r="G288" s="218"/>
      <c r="H288" s="218"/>
      <c r="I288" s="218"/>
      <c r="J288" s="218"/>
      <c r="K288" s="218"/>
      <c r="L288" s="218"/>
      <c r="M288" s="219"/>
    </row>
    <row r="289" spans="2:13" x14ac:dyDescent="0.25">
      <c r="B289" s="217"/>
      <c r="C289" s="218"/>
      <c r="D289" s="218"/>
      <c r="E289" s="218"/>
      <c r="F289" s="218"/>
      <c r="G289" s="218"/>
      <c r="H289" s="218"/>
      <c r="I289" s="218"/>
      <c r="J289" s="218"/>
      <c r="K289" s="218"/>
      <c r="L289" s="218"/>
      <c r="M289" s="219"/>
    </row>
    <row r="290" spans="2:13" x14ac:dyDescent="0.25">
      <c r="B290" s="217"/>
      <c r="C290" s="218"/>
      <c r="D290" s="218"/>
      <c r="E290" s="218"/>
      <c r="F290" s="218"/>
      <c r="G290" s="218"/>
      <c r="H290" s="218"/>
      <c r="I290" s="218"/>
      <c r="J290" s="218"/>
      <c r="K290" s="218"/>
      <c r="L290" s="218"/>
      <c r="M290" s="219"/>
    </row>
    <row r="291" spans="2:13" x14ac:dyDescent="0.25">
      <c r="B291" s="217"/>
      <c r="C291" s="218"/>
      <c r="D291" s="218"/>
      <c r="E291" s="218"/>
      <c r="F291" s="218"/>
      <c r="G291" s="218"/>
      <c r="H291" s="218"/>
      <c r="I291" s="218"/>
      <c r="J291" s="218"/>
      <c r="K291" s="218"/>
      <c r="L291" s="218"/>
      <c r="M291" s="219"/>
    </row>
    <row r="292" spans="2:13" x14ac:dyDescent="0.25">
      <c r="B292" s="217"/>
      <c r="C292" s="218"/>
      <c r="D292" s="218"/>
      <c r="E292" s="218"/>
      <c r="F292" s="218"/>
      <c r="G292" s="218"/>
      <c r="H292" s="218"/>
      <c r="I292" s="218"/>
      <c r="J292" s="218"/>
      <c r="K292" s="218"/>
      <c r="L292" s="218"/>
      <c r="M292" s="219"/>
    </row>
    <row r="293" spans="2:13" x14ac:dyDescent="0.25">
      <c r="B293" s="217"/>
      <c r="C293" s="218"/>
      <c r="D293" s="218"/>
      <c r="E293" s="218"/>
      <c r="F293" s="218"/>
      <c r="G293" s="218"/>
      <c r="H293" s="218"/>
      <c r="I293" s="218"/>
      <c r="J293" s="218"/>
      <c r="K293" s="218"/>
      <c r="L293" s="218"/>
      <c r="M293" s="219"/>
    </row>
    <row r="294" spans="2:13" x14ac:dyDescent="0.25">
      <c r="B294" s="217"/>
      <c r="C294" s="218"/>
      <c r="D294" s="218"/>
      <c r="E294" s="218"/>
      <c r="F294" s="218"/>
      <c r="G294" s="218"/>
      <c r="H294" s="218"/>
      <c r="I294" s="218"/>
      <c r="J294" s="218"/>
      <c r="K294" s="218"/>
      <c r="L294" s="218"/>
      <c r="M294" s="219"/>
    </row>
    <row r="295" spans="2:13" x14ac:dyDescent="0.25">
      <c r="B295" s="217"/>
      <c r="C295" s="218"/>
      <c r="D295" s="218"/>
      <c r="E295" s="218"/>
      <c r="F295" s="218"/>
      <c r="G295" s="218"/>
      <c r="H295" s="218"/>
      <c r="I295" s="218"/>
      <c r="J295" s="218"/>
      <c r="K295" s="218"/>
      <c r="L295" s="218"/>
      <c r="M295" s="219"/>
    </row>
    <row r="296" spans="2:13" x14ac:dyDescent="0.25">
      <c r="B296" s="217"/>
      <c r="C296" s="218"/>
      <c r="D296" s="218"/>
      <c r="E296" s="218"/>
      <c r="F296" s="218"/>
      <c r="G296" s="218"/>
      <c r="H296" s="218"/>
      <c r="I296" s="218"/>
      <c r="J296" s="218"/>
      <c r="K296" s="218"/>
      <c r="L296" s="218"/>
      <c r="M296" s="219"/>
    </row>
    <row r="297" spans="2:13" x14ac:dyDescent="0.25">
      <c r="B297" s="217"/>
      <c r="C297" s="218"/>
      <c r="D297" s="218"/>
      <c r="E297" s="218"/>
      <c r="F297" s="218"/>
      <c r="G297" s="218"/>
      <c r="H297" s="218"/>
      <c r="I297" s="218"/>
      <c r="J297" s="218"/>
      <c r="K297" s="218"/>
      <c r="L297" s="218"/>
      <c r="M297" s="219"/>
    </row>
    <row r="298" spans="2:13" x14ac:dyDescent="0.25">
      <c r="B298" s="217"/>
      <c r="C298" s="218"/>
      <c r="D298" s="218"/>
      <c r="E298" s="218"/>
      <c r="F298" s="218"/>
      <c r="G298" s="218"/>
      <c r="H298" s="218"/>
      <c r="I298" s="218"/>
      <c r="J298" s="218"/>
      <c r="K298" s="218"/>
      <c r="L298" s="218"/>
      <c r="M298" s="219"/>
    </row>
    <row r="299" spans="2:13" x14ac:dyDescent="0.25">
      <c r="B299" s="217"/>
      <c r="C299" s="218"/>
      <c r="D299" s="218"/>
      <c r="E299" s="218"/>
      <c r="F299" s="218"/>
      <c r="G299" s="218"/>
      <c r="H299" s="218"/>
      <c r="I299" s="218"/>
      <c r="J299" s="218"/>
      <c r="K299" s="218"/>
      <c r="L299" s="218"/>
      <c r="M299" s="219"/>
    </row>
    <row r="300" spans="2:13" x14ac:dyDescent="0.25">
      <c r="B300" s="217"/>
      <c r="C300" s="218"/>
      <c r="D300" s="218"/>
      <c r="E300" s="218"/>
      <c r="F300" s="218"/>
      <c r="G300" s="218"/>
      <c r="H300" s="218"/>
      <c r="I300" s="218"/>
      <c r="J300" s="218"/>
      <c r="K300" s="218"/>
      <c r="L300" s="218"/>
      <c r="M300" s="219"/>
    </row>
    <row r="301" spans="2:13" x14ac:dyDescent="0.25">
      <c r="B301" s="217"/>
      <c r="C301" s="218"/>
      <c r="D301" s="218"/>
      <c r="E301" s="218"/>
      <c r="F301" s="218"/>
      <c r="G301" s="218"/>
      <c r="H301" s="218"/>
      <c r="I301" s="218"/>
      <c r="J301" s="218"/>
      <c r="K301" s="218"/>
      <c r="L301" s="218"/>
      <c r="M301" s="219"/>
    </row>
    <row r="302" spans="2:13" x14ac:dyDescent="0.25">
      <c r="B302" s="217"/>
      <c r="C302" s="218"/>
      <c r="D302" s="218"/>
      <c r="E302" s="218"/>
      <c r="F302" s="218"/>
      <c r="G302" s="218"/>
      <c r="H302" s="218"/>
      <c r="I302" s="218"/>
      <c r="J302" s="218"/>
      <c r="K302" s="218"/>
      <c r="L302" s="218"/>
      <c r="M302" s="219"/>
    </row>
    <row r="303" spans="2:13" x14ac:dyDescent="0.25">
      <c r="B303" s="217"/>
      <c r="C303" s="218"/>
      <c r="D303" s="218"/>
      <c r="E303" s="218"/>
      <c r="F303" s="218"/>
      <c r="G303" s="218"/>
      <c r="H303" s="218"/>
      <c r="I303" s="218"/>
      <c r="J303" s="218"/>
      <c r="K303" s="218"/>
      <c r="L303" s="218"/>
      <c r="M303" s="219"/>
    </row>
    <row r="304" spans="2:13" x14ac:dyDescent="0.25">
      <c r="B304" s="217"/>
      <c r="C304" s="218"/>
      <c r="D304" s="218"/>
      <c r="E304" s="218"/>
      <c r="F304" s="218"/>
      <c r="G304" s="218"/>
      <c r="H304" s="218"/>
      <c r="I304" s="218"/>
      <c r="J304" s="218"/>
      <c r="K304" s="218"/>
      <c r="L304" s="218"/>
      <c r="M304" s="219"/>
    </row>
    <row r="305" spans="2:13" x14ac:dyDescent="0.25">
      <c r="B305" s="217"/>
      <c r="C305" s="218"/>
      <c r="D305" s="218"/>
      <c r="E305" s="218"/>
      <c r="F305" s="218"/>
      <c r="G305" s="218"/>
      <c r="H305" s="218"/>
      <c r="I305" s="218"/>
      <c r="J305" s="218"/>
      <c r="K305" s="218"/>
      <c r="L305" s="218"/>
      <c r="M305" s="219"/>
    </row>
    <row r="306" spans="2:13" x14ac:dyDescent="0.25">
      <c r="B306" s="217"/>
      <c r="C306" s="218"/>
      <c r="D306" s="218"/>
      <c r="E306" s="218"/>
      <c r="F306" s="218"/>
      <c r="G306" s="218"/>
      <c r="H306" s="218"/>
      <c r="I306" s="218"/>
      <c r="J306" s="218"/>
      <c r="K306" s="218"/>
      <c r="L306" s="218"/>
      <c r="M306" s="219"/>
    </row>
    <row r="307" spans="2:13" x14ac:dyDescent="0.25">
      <c r="B307" s="217"/>
      <c r="C307" s="218"/>
      <c r="D307" s="218"/>
      <c r="E307" s="218"/>
      <c r="F307" s="218"/>
      <c r="G307" s="218"/>
      <c r="H307" s="218"/>
      <c r="I307" s="218"/>
      <c r="J307" s="218"/>
      <c r="K307" s="218"/>
      <c r="L307" s="218"/>
      <c r="M307" s="219"/>
    </row>
    <row r="308" spans="2:13" x14ac:dyDescent="0.25">
      <c r="B308" s="217"/>
      <c r="C308" s="218"/>
      <c r="D308" s="218"/>
      <c r="E308" s="218"/>
      <c r="F308" s="218"/>
      <c r="G308" s="218"/>
      <c r="H308" s="218"/>
      <c r="I308" s="218"/>
      <c r="J308" s="218"/>
      <c r="K308" s="218"/>
      <c r="L308" s="218"/>
      <c r="M308" s="219"/>
    </row>
    <row r="309" spans="2:13" ht="15" customHeight="1" x14ac:dyDescent="0.25">
      <c r="B309" s="220"/>
      <c r="C309" s="221"/>
      <c r="D309" s="221"/>
      <c r="E309" s="221"/>
      <c r="F309" s="221"/>
      <c r="G309" s="221"/>
      <c r="H309" s="221"/>
      <c r="I309" s="221"/>
      <c r="J309" s="221"/>
      <c r="K309" s="221"/>
      <c r="L309" s="221"/>
      <c r="M309" s="222"/>
    </row>
    <row r="310" spans="2:13" ht="15" customHeight="1" x14ac:dyDescent="0.25">
      <c r="B310" s="220"/>
      <c r="C310" s="221"/>
      <c r="D310" s="221"/>
      <c r="E310" s="221"/>
      <c r="F310" s="221"/>
      <c r="G310" s="221"/>
      <c r="H310" s="221"/>
      <c r="I310" s="221"/>
      <c r="J310" s="221"/>
      <c r="K310" s="221"/>
      <c r="L310" s="221"/>
      <c r="M310" s="222"/>
    </row>
    <row r="311" spans="2:13" x14ac:dyDescent="0.25">
      <c r="B311" s="217"/>
      <c r="C311" s="218"/>
      <c r="D311" s="218"/>
      <c r="E311" s="218"/>
      <c r="F311" s="218"/>
      <c r="G311" s="218"/>
      <c r="H311" s="218"/>
      <c r="I311" s="218"/>
      <c r="J311" s="218"/>
      <c r="K311" s="218"/>
      <c r="L311" s="218"/>
      <c r="M311" s="219"/>
    </row>
    <row r="312" spans="2:13" x14ac:dyDescent="0.25">
      <c r="B312" s="217"/>
      <c r="C312" s="218"/>
      <c r="D312" s="218"/>
      <c r="E312" s="218"/>
      <c r="F312" s="218"/>
      <c r="G312" s="218"/>
      <c r="H312" s="218"/>
      <c r="I312" s="218"/>
      <c r="J312" s="218"/>
      <c r="K312" s="218"/>
      <c r="L312" s="218"/>
      <c r="M312" s="219"/>
    </row>
    <row r="313" spans="2:13" x14ac:dyDescent="0.25">
      <c r="B313" s="217"/>
      <c r="C313" s="218"/>
      <c r="D313" s="218"/>
      <c r="E313" s="218"/>
      <c r="F313" s="218"/>
      <c r="G313" s="218"/>
      <c r="H313" s="218"/>
      <c r="I313" s="218"/>
      <c r="J313" s="218"/>
      <c r="K313" s="218"/>
      <c r="L313" s="218"/>
      <c r="M313" s="219"/>
    </row>
    <row r="314" spans="2:13" x14ac:dyDescent="0.25">
      <c r="B314" s="217"/>
      <c r="C314" s="218"/>
      <c r="D314" s="218"/>
      <c r="E314" s="218"/>
      <c r="F314" s="218"/>
      <c r="G314" s="218"/>
      <c r="H314" s="218"/>
      <c r="I314" s="218"/>
      <c r="J314" s="218"/>
      <c r="K314" s="218"/>
      <c r="L314" s="218"/>
      <c r="M314" s="219"/>
    </row>
    <row r="315" spans="2:13" x14ac:dyDescent="0.25">
      <c r="B315" s="217"/>
      <c r="C315" s="218"/>
      <c r="D315" s="218"/>
      <c r="E315" s="218"/>
      <c r="F315" s="218"/>
      <c r="G315" s="218"/>
      <c r="H315" s="218"/>
      <c r="I315" s="218"/>
      <c r="J315" s="218"/>
      <c r="K315" s="218"/>
      <c r="L315" s="218"/>
      <c r="M315" s="219"/>
    </row>
    <row r="316" spans="2:13" x14ac:dyDescent="0.25">
      <c r="B316" s="217"/>
      <c r="C316" s="218"/>
      <c r="D316" s="218"/>
      <c r="E316" s="218"/>
      <c r="F316" s="218"/>
      <c r="G316" s="218"/>
      <c r="H316" s="218"/>
      <c r="I316" s="218"/>
      <c r="J316" s="218"/>
      <c r="K316" s="218"/>
      <c r="L316" s="218"/>
      <c r="M316" s="219"/>
    </row>
    <row r="317" spans="2:13" ht="15" customHeight="1" x14ac:dyDescent="0.25">
      <c r="B317" s="217"/>
      <c r="C317" s="218"/>
      <c r="D317" s="218"/>
      <c r="E317" s="218"/>
      <c r="F317" s="218"/>
      <c r="G317" s="218"/>
      <c r="H317" s="218"/>
      <c r="I317" s="218"/>
      <c r="J317" s="218"/>
      <c r="K317" s="218"/>
      <c r="L317" s="218"/>
      <c r="M317" s="219"/>
    </row>
    <row r="318" spans="2:13" ht="15" customHeight="1" x14ac:dyDescent="0.25">
      <c r="B318" s="217"/>
      <c r="C318" s="218"/>
      <c r="D318" s="218"/>
      <c r="E318" s="218"/>
      <c r="F318" s="218"/>
      <c r="G318" s="218"/>
      <c r="H318" s="218"/>
      <c r="I318" s="218"/>
      <c r="J318" s="218"/>
      <c r="K318" s="218"/>
      <c r="L318" s="218"/>
      <c r="M318" s="219"/>
    </row>
    <row r="319" spans="2:13" x14ac:dyDescent="0.25">
      <c r="B319" s="217"/>
      <c r="C319" s="218"/>
      <c r="D319" s="218"/>
      <c r="E319" s="218"/>
      <c r="F319" s="218"/>
      <c r="G319" s="218"/>
      <c r="H319" s="218"/>
      <c r="I319" s="218"/>
      <c r="J319" s="218"/>
      <c r="K319" s="218"/>
      <c r="L319" s="218"/>
      <c r="M319" s="219"/>
    </row>
    <row r="320" spans="2:13" x14ac:dyDescent="0.25">
      <c r="B320" s="217"/>
      <c r="C320" s="218"/>
      <c r="D320" s="218"/>
      <c r="E320" s="218"/>
      <c r="F320" s="218"/>
      <c r="G320" s="218"/>
      <c r="H320" s="218"/>
      <c r="I320" s="218"/>
      <c r="J320" s="218"/>
      <c r="K320" s="218"/>
      <c r="L320" s="218"/>
      <c r="M320" s="219"/>
    </row>
    <row r="321" spans="2:13" x14ac:dyDescent="0.25">
      <c r="B321" s="217"/>
      <c r="C321" s="218"/>
      <c r="D321" s="218"/>
      <c r="E321" s="218"/>
      <c r="F321" s="218"/>
      <c r="G321" s="218"/>
      <c r="H321" s="218"/>
      <c r="I321" s="218"/>
      <c r="J321" s="218"/>
      <c r="K321" s="218"/>
      <c r="L321" s="218"/>
      <c r="M321" s="219"/>
    </row>
    <row r="322" spans="2:13" x14ac:dyDescent="0.25">
      <c r="B322" s="217"/>
      <c r="C322" s="218"/>
      <c r="D322" s="218"/>
      <c r="E322" s="218"/>
      <c r="F322" s="218"/>
      <c r="G322" s="218"/>
      <c r="H322" s="218"/>
      <c r="I322" s="218"/>
      <c r="J322" s="218"/>
      <c r="K322" s="218"/>
      <c r="L322" s="218"/>
      <c r="M322" s="219"/>
    </row>
    <row r="323" spans="2:13" x14ac:dyDescent="0.25">
      <c r="B323" s="217"/>
      <c r="C323" s="218"/>
      <c r="D323" s="218"/>
      <c r="E323" s="218"/>
      <c r="F323" s="218"/>
      <c r="G323" s="218"/>
      <c r="H323" s="218"/>
      <c r="I323" s="218"/>
      <c r="J323" s="218"/>
      <c r="K323" s="218"/>
      <c r="L323" s="218"/>
      <c r="M323" s="219"/>
    </row>
    <row r="324" spans="2:13" x14ac:dyDescent="0.25">
      <c r="B324" s="217"/>
      <c r="C324" s="218"/>
      <c r="D324" s="218"/>
      <c r="E324" s="218"/>
      <c r="F324" s="218"/>
      <c r="G324" s="218"/>
      <c r="H324" s="218"/>
      <c r="I324" s="218"/>
      <c r="J324" s="218"/>
      <c r="K324" s="218"/>
      <c r="L324" s="218"/>
      <c r="M324" s="219"/>
    </row>
    <row r="325" spans="2:13" x14ac:dyDescent="0.25">
      <c r="B325" s="217"/>
      <c r="C325" s="218"/>
      <c r="D325" s="218"/>
      <c r="E325" s="218"/>
      <c r="F325" s="218"/>
      <c r="G325" s="218"/>
      <c r="H325" s="218"/>
      <c r="I325" s="218"/>
      <c r="J325" s="218"/>
      <c r="K325" s="218"/>
      <c r="L325" s="218"/>
      <c r="M325" s="219"/>
    </row>
    <row r="326" spans="2:13" x14ac:dyDescent="0.25">
      <c r="B326" s="217"/>
      <c r="C326" s="218"/>
      <c r="D326" s="218"/>
      <c r="E326" s="218"/>
      <c r="F326" s="218"/>
      <c r="G326" s="218"/>
      <c r="H326" s="218"/>
      <c r="I326" s="218"/>
      <c r="J326" s="218"/>
      <c r="K326" s="218"/>
      <c r="L326" s="218"/>
      <c r="M326" s="219"/>
    </row>
    <row r="327" spans="2:13" x14ac:dyDescent="0.25">
      <c r="B327" s="217"/>
      <c r="C327" s="218"/>
      <c r="D327" s="218"/>
      <c r="E327" s="218"/>
      <c r="F327" s="218"/>
      <c r="G327" s="218"/>
      <c r="H327" s="218"/>
      <c r="I327" s="218"/>
      <c r="J327" s="218"/>
      <c r="K327" s="218"/>
      <c r="L327" s="218"/>
      <c r="M327" s="219"/>
    </row>
    <row r="328" spans="2:13" x14ac:dyDescent="0.25">
      <c r="B328" s="217"/>
      <c r="C328" s="218"/>
      <c r="D328" s="218"/>
      <c r="E328" s="218"/>
      <c r="F328" s="218"/>
      <c r="G328" s="218"/>
      <c r="H328" s="218"/>
      <c r="I328" s="218"/>
      <c r="J328" s="218"/>
      <c r="K328" s="218"/>
      <c r="L328" s="218"/>
      <c r="M328" s="219"/>
    </row>
    <row r="329" spans="2:13" x14ac:dyDescent="0.25">
      <c r="B329" s="217"/>
      <c r="C329" s="218"/>
      <c r="D329" s="218"/>
      <c r="E329" s="218"/>
      <c r="F329" s="218"/>
      <c r="G329" s="218"/>
      <c r="H329" s="218"/>
      <c r="I329" s="218"/>
      <c r="J329" s="218"/>
      <c r="K329" s="218"/>
      <c r="L329" s="218"/>
      <c r="M329" s="219"/>
    </row>
    <row r="330" spans="2:13" x14ac:dyDescent="0.25">
      <c r="B330" s="217"/>
      <c r="C330" s="218"/>
      <c r="D330" s="218"/>
      <c r="E330" s="218"/>
      <c r="F330" s="218"/>
      <c r="G330" s="218"/>
      <c r="H330" s="218"/>
      <c r="I330" s="218"/>
      <c r="J330" s="218"/>
      <c r="K330" s="218"/>
      <c r="L330" s="218"/>
      <c r="M330" s="219"/>
    </row>
    <row r="331" spans="2:13" x14ac:dyDescent="0.25">
      <c r="B331" s="217"/>
      <c r="C331" s="218"/>
      <c r="D331" s="218"/>
      <c r="E331" s="218"/>
      <c r="F331" s="218"/>
      <c r="G331" s="218"/>
      <c r="H331" s="218"/>
      <c r="I331" s="218"/>
      <c r="J331" s="218"/>
      <c r="K331" s="218"/>
      <c r="L331" s="218"/>
      <c r="M331" s="219"/>
    </row>
    <row r="332" spans="2:13" x14ac:dyDescent="0.25">
      <c r="B332" s="217"/>
      <c r="C332" s="218"/>
      <c r="D332" s="218"/>
      <c r="E332" s="218"/>
      <c r="F332" s="218"/>
      <c r="G332" s="218"/>
      <c r="H332" s="218"/>
      <c r="I332" s="218"/>
      <c r="J332" s="218"/>
      <c r="K332" s="218"/>
      <c r="L332" s="218"/>
      <c r="M332" s="219"/>
    </row>
    <row r="333" spans="2:13" x14ac:dyDescent="0.25">
      <c r="B333" s="217"/>
      <c r="C333" s="218"/>
      <c r="D333" s="218"/>
      <c r="E333" s="218"/>
      <c r="F333" s="218"/>
      <c r="G333" s="218"/>
      <c r="H333" s="218"/>
      <c r="I333" s="218"/>
      <c r="J333" s="218"/>
      <c r="K333" s="218"/>
      <c r="L333" s="218"/>
      <c r="M333" s="219"/>
    </row>
    <row r="334" spans="2:13" x14ac:dyDescent="0.25">
      <c r="B334" s="217"/>
      <c r="C334" s="218"/>
      <c r="D334" s="218"/>
      <c r="E334" s="218"/>
      <c r="F334" s="218"/>
      <c r="G334" s="218"/>
      <c r="H334" s="218"/>
      <c r="I334" s="218"/>
      <c r="J334" s="218"/>
      <c r="K334" s="218"/>
      <c r="L334" s="218"/>
      <c r="M334" s="219"/>
    </row>
    <row r="335" spans="2:13" x14ac:dyDescent="0.25">
      <c r="B335" s="217"/>
      <c r="C335" s="218"/>
      <c r="D335" s="218"/>
      <c r="E335" s="218"/>
      <c r="F335" s="218"/>
      <c r="G335" s="218"/>
      <c r="H335" s="218"/>
      <c r="I335" s="218"/>
      <c r="J335" s="218"/>
      <c r="K335" s="218"/>
      <c r="L335" s="218"/>
      <c r="M335" s="219"/>
    </row>
    <row r="336" spans="2:13" ht="15" customHeight="1" x14ac:dyDescent="0.25">
      <c r="B336" s="217"/>
      <c r="C336" s="218"/>
      <c r="D336" s="218"/>
      <c r="E336" s="218"/>
      <c r="F336" s="218"/>
      <c r="G336" s="218"/>
      <c r="H336" s="218"/>
      <c r="I336" s="218"/>
      <c r="J336" s="218"/>
      <c r="K336" s="218"/>
      <c r="L336" s="218"/>
      <c r="M336" s="219"/>
    </row>
    <row r="337" spans="2:13" ht="15" customHeight="1" x14ac:dyDescent="0.25">
      <c r="B337" s="217"/>
      <c r="C337" s="218"/>
      <c r="D337" s="218"/>
      <c r="E337" s="218"/>
      <c r="F337" s="218"/>
      <c r="G337" s="218"/>
      <c r="H337" s="218"/>
      <c r="I337" s="218"/>
      <c r="J337" s="218"/>
      <c r="K337" s="218"/>
      <c r="L337" s="218"/>
      <c r="M337" s="219"/>
    </row>
    <row r="338" spans="2:13" x14ac:dyDescent="0.25">
      <c r="B338" s="217"/>
      <c r="C338" s="218"/>
      <c r="D338" s="218"/>
      <c r="E338" s="218"/>
      <c r="F338" s="218"/>
      <c r="G338" s="218"/>
      <c r="H338" s="218"/>
      <c r="I338" s="218"/>
      <c r="J338" s="218"/>
      <c r="K338" s="218"/>
      <c r="L338" s="218"/>
      <c r="M338" s="219"/>
    </row>
    <row r="339" spans="2:13" ht="15" customHeight="1" x14ac:dyDescent="0.25">
      <c r="B339" s="220"/>
      <c r="C339" s="221"/>
      <c r="D339" s="221"/>
      <c r="E339" s="221"/>
      <c r="F339" s="221"/>
      <c r="G339" s="221"/>
      <c r="H339" s="221"/>
      <c r="I339" s="221"/>
      <c r="J339" s="221"/>
      <c r="K339" s="221"/>
      <c r="L339" s="221"/>
      <c r="M339" s="222"/>
    </row>
    <row r="340" spans="2:13" ht="15.75" customHeight="1" thickBot="1" x14ac:dyDescent="0.3">
      <c r="B340" s="223"/>
      <c r="C340" s="224"/>
      <c r="D340" s="224"/>
      <c r="E340" s="224"/>
      <c r="F340" s="224"/>
      <c r="G340" s="224"/>
      <c r="H340" s="224"/>
      <c r="I340" s="224"/>
      <c r="J340" s="224"/>
      <c r="K340" s="224"/>
      <c r="L340" s="224"/>
      <c r="M340" s="225"/>
    </row>
  </sheetData>
  <mergeCells count="215">
    <mergeCell ref="B138:M139"/>
    <mergeCell ref="B209:M210"/>
    <mergeCell ref="B280:M281"/>
    <mergeCell ref="B113:G113"/>
    <mergeCell ref="H113:I113"/>
    <mergeCell ref="J113:K113"/>
    <mergeCell ref="L113:M113"/>
    <mergeCell ref="B111:G111"/>
    <mergeCell ref="H111:I111"/>
    <mergeCell ref="J111:K111"/>
    <mergeCell ref="L111:M111"/>
    <mergeCell ref="B66:M66"/>
    <mergeCell ref="C93:F93"/>
    <mergeCell ref="K95:L95"/>
    <mergeCell ref="B110:M110"/>
    <mergeCell ref="B109:M109"/>
    <mergeCell ref="H33:I33"/>
    <mergeCell ref="J33:K33"/>
    <mergeCell ref="L33:M33"/>
    <mergeCell ref="J114:K114"/>
    <mergeCell ref="L114:M114"/>
    <mergeCell ref="J38:M38"/>
    <mergeCell ref="J42:M42"/>
    <mergeCell ref="J41:M41"/>
    <mergeCell ref="L112:M112"/>
    <mergeCell ref="H61:K61"/>
    <mergeCell ref="L61:M61"/>
    <mergeCell ref="H62:K62"/>
    <mergeCell ref="L62:M64"/>
    <mergeCell ref="J48:M48"/>
    <mergeCell ref="J45:M45"/>
    <mergeCell ref="H64:K64"/>
    <mergeCell ref="B58:M59"/>
    <mergeCell ref="H34:I34"/>
    <mergeCell ref="J34:K34"/>
    <mergeCell ref="L34:M34"/>
    <mergeCell ref="H35:I35"/>
    <mergeCell ref="J35:K35"/>
    <mergeCell ref="L35:M35"/>
    <mergeCell ref="H36:I36"/>
    <mergeCell ref="B31:G31"/>
    <mergeCell ref="H31:I31"/>
    <mergeCell ref="J31:K31"/>
    <mergeCell ref="B32:G32"/>
    <mergeCell ref="J30:K30"/>
    <mergeCell ref="H26:M26"/>
    <mergeCell ref="H27:M27"/>
    <mergeCell ref="B27:G27"/>
    <mergeCell ref="L29:M29"/>
    <mergeCell ref="B29:G29"/>
    <mergeCell ref="H32:I32"/>
    <mergeCell ref="J32:K32"/>
    <mergeCell ref="L32:M32"/>
    <mergeCell ref="J36:K36"/>
    <mergeCell ref="L36:M36"/>
    <mergeCell ref="B34:G34"/>
    <mergeCell ref="B61:D64"/>
    <mergeCell ref="E61:G61"/>
    <mergeCell ref="B36:G36"/>
    <mergeCell ref="E63:G63"/>
    <mergeCell ref="H63:K63"/>
    <mergeCell ref="J43:M43"/>
    <mergeCell ref="J44:M44"/>
    <mergeCell ref="B49:M49"/>
    <mergeCell ref="E62:G62"/>
    <mergeCell ref="J40:M40"/>
    <mergeCell ref="B2:M3"/>
    <mergeCell ref="L5:M5"/>
    <mergeCell ref="H5:K5"/>
    <mergeCell ref="H6:K6"/>
    <mergeCell ref="H7:K7"/>
    <mergeCell ref="H8:K8"/>
    <mergeCell ref="B5:D8"/>
    <mergeCell ref="E5:G5"/>
    <mergeCell ref="E6:G6"/>
    <mergeCell ref="E7:G7"/>
    <mergeCell ref="E8:G8"/>
    <mergeCell ref="L6:M8"/>
    <mergeCell ref="B21:G21"/>
    <mergeCell ref="H18:M18"/>
    <mergeCell ref="H22:M22"/>
    <mergeCell ref="B22:G22"/>
    <mergeCell ref="L30:M30"/>
    <mergeCell ref="J29:K29"/>
    <mergeCell ref="H29:I29"/>
    <mergeCell ref="B23:G23"/>
    <mergeCell ref="H23:M23"/>
    <mergeCell ref="B24:G24"/>
    <mergeCell ref="H24:M24"/>
    <mergeCell ref="B25:G25"/>
    <mergeCell ref="H25:M25"/>
    <mergeCell ref="H30:I30"/>
    <mergeCell ref="B30:G30"/>
    <mergeCell ref="B26:G26"/>
    <mergeCell ref="H115:I115"/>
    <mergeCell ref="J116:K116"/>
    <mergeCell ref="B10:M10"/>
    <mergeCell ref="H17:M17"/>
    <mergeCell ref="B18:G18"/>
    <mergeCell ref="H15:M15"/>
    <mergeCell ref="B19:G19"/>
    <mergeCell ref="H19:M19"/>
    <mergeCell ref="B20:G20"/>
    <mergeCell ref="B11:G11"/>
    <mergeCell ref="H11:M11"/>
    <mergeCell ref="B12:G12"/>
    <mergeCell ref="H12:M12"/>
    <mergeCell ref="B13:G13"/>
    <mergeCell ref="H13:M13"/>
    <mergeCell ref="B14:G14"/>
    <mergeCell ref="H14:M14"/>
    <mergeCell ref="B15:G15"/>
    <mergeCell ref="B16:G16"/>
    <mergeCell ref="H16:M16"/>
    <mergeCell ref="B17:G17"/>
    <mergeCell ref="L31:M31"/>
    <mergeCell ref="B35:G35"/>
    <mergeCell ref="B33:G33"/>
    <mergeCell ref="L117:M117"/>
    <mergeCell ref="H116:I116"/>
    <mergeCell ref="B121:G121"/>
    <mergeCell ref="B122:G122"/>
    <mergeCell ref="B112:G112"/>
    <mergeCell ref="H112:I112"/>
    <mergeCell ref="E64:G64"/>
    <mergeCell ref="B118:G118"/>
    <mergeCell ref="H118:I118"/>
    <mergeCell ref="J118:K118"/>
    <mergeCell ref="B115:G115"/>
    <mergeCell ref="J115:K115"/>
    <mergeCell ref="J112:K112"/>
    <mergeCell ref="B117:G117"/>
    <mergeCell ref="H117:I117"/>
    <mergeCell ref="J117:K117"/>
    <mergeCell ref="C94:F94"/>
    <mergeCell ref="G93:J93"/>
    <mergeCell ref="G94:J94"/>
    <mergeCell ref="K93:L93"/>
    <mergeCell ref="K94:L94"/>
    <mergeCell ref="C95:F95"/>
    <mergeCell ref="G95:J95"/>
    <mergeCell ref="L115:M115"/>
    <mergeCell ref="B208:M208"/>
    <mergeCell ref="B200:M201"/>
    <mergeCell ref="B203:D206"/>
    <mergeCell ref="E203:G203"/>
    <mergeCell ref="H203:K203"/>
    <mergeCell ref="H135:K135"/>
    <mergeCell ref="E132:G132"/>
    <mergeCell ref="H132:K132"/>
    <mergeCell ref="L132:M132"/>
    <mergeCell ref="L133:M135"/>
    <mergeCell ref="H206:K206"/>
    <mergeCell ref="E135:G135"/>
    <mergeCell ref="L203:M203"/>
    <mergeCell ref="E204:G204"/>
    <mergeCell ref="H204:K204"/>
    <mergeCell ref="L204:M206"/>
    <mergeCell ref="B137:M137"/>
    <mergeCell ref="B132:D135"/>
    <mergeCell ref="E134:G134"/>
    <mergeCell ref="H134:K134"/>
    <mergeCell ref="E205:G205"/>
    <mergeCell ref="H205:K205"/>
    <mergeCell ref="E206:G206"/>
    <mergeCell ref="L118:M118"/>
    <mergeCell ref="B129:M130"/>
    <mergeCell ref="H126:I126"/>
    <mergeCell ref="J126:K126"/>
    <mergeCell ref="L126:M126"/>
    <mergeCell ref="B127:G127"/>
    <mergeCell ref="H127:I127"/>
    <mergeCell ref="J127:K127"/>
    <mergeCell ref="L127:M127"/>
    <mergeCell ref="H120:I120"/>
    <mergeCell ref="J120:K120"/>
    <mergeCell ref="L121:M121"/>
    <mergeCell ref="L122:M122"/>
    <mergeCell ref="L125:M125"/>
    <mergeCell ref="H122:I122"/>
    <mergeCell ref="H125:I125"/>
    <mergeCell ref="B119:M119"/>
    <mergeCell ref="B120:G120"/>
    <mergeCell ref="L120:M120"/>
    <mergeCell ref="H121:I121"/>
    <mergeCell ref="B125:G125"/>
    <mergeCell ref="J46:M46"/>
    <mergeCell ref="J47:M47"/>
    <mergeCell ref="B123:G123"/>
    <mergeCell ref="H123:I123"/>
    <mergeCell ref="J123:K123"/>
    <mergeCell ref="L123:M123"/>
    <mergeCell ref="B114:G114"/>
    <mergeCell ref="H114:I114"/>
    <mergeCell ref="E133:G133"/>
    <mergeCell ref="H133:K133"/>
    <mergeCell ref="L116:M116"/>
    <mergeCell ref="B116:G116"/>
    <mergeCell ref="J121:K121"/>
    <mergeCell ref="J122:K122"/>
    <mergeCell ref="J125:K125"/>
    <mergeCell ref="B126:G126"/>
    <mergeCell ref="B271:M272"/>
    <mergeCell ref="B274:D277"/>
    <mergeCell ref="E274:G274"/>
    <mergeCell ref="H274:K274"/>
    <mergeCell ref="L274:M274"/>
    <mergeCell ref="E275:G275"/>
    <mergeCell ref="H275:K275"/>
    <mergeCell ref="L275:M277"/>
    <mergeCell ref="E276:G276"/>
    <mergeCell ref="H276:K276"/>
    <mergeCell ref="E277:G277"/>
    <mergeCell ref="H277:K277"/>
    <mergeCell ref="B279:M279"/>
  </mergeCells>
  <pageMargins left="0.7" right="0.7" top="0.75" bottom="0.75" header="0.3" footer="0.3"/>
  <pageSetup scale="6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51B46-05C3-4224-B5B9-2B4F8B81B612}">
  <dimension ref="B2:H1708"/>
  <sheetViews>
    <sheetView zoomScaleNormal="100" workbookViewId="0">
      <selection activeCell="H5" sqref="H5"/>
    </sheetView>
  </sheetViews>
  <sheetFormatPr baseColWidth="10" defaultRowHeight="15" outlineLevelRow="2" x14ac:dyDescent="0.25"/>
  <cols>
    <col min="1" max="1" width="5.28515625" style="1" customWidth="1"/>
    <col min="2" max="2" width="37.28515625" style="1" customWidth="1"/>
    <col min="3" max="3" width="13.7109375" style="1" bestFit="1" customWidth="1"/>
    <col min="4" max="4" width="4" style="1" customWidth="1"/>
    <col min="5" max="6" width="18.28515625" style="197" customWidth="1"/>
    <col min="7" max="8" width="18.28515625" style="194" customWidth="1"/>
    <col min="9" max="16384" width="11.42578125" style="1"/>
  </cols>
  <sheetData>
    <row r="2" spans="2:8" ht="22.5" customHeight="1" x14ac:dyDescent="0.25">
      <c r="E2" s="196" t="s">
        <v>64</v>
      </c>
      <c r="F2" s="196" t="s">
        <v>65</v>
      </c>
      <c r="G2" s="195" t="s">
        <v>66</v>
      </c>
      <c r="H2" s="195" t="s">
        <v>67</v>
      </c>
    </row>
    <row r="4" spans="2:8" x14ac:dyDescent="0.25">
      <c r="B4" s="213" t="s">
        <v>436</v>
      </c>
      <c r="C4" s="202">
        <f>+C6+C259+C558+C857+C1156+C1455</f>
        <v>13184120.839999998</v>
      </c>
      <c r="E4" s="203">
        <f>+G4/C4</f>
        <v>6.2751723838113738E-4</v>
      </c>
      <c r="F4" s="203">
        <f>+H4/C4</f>
        <v>7.189265871443576E-4</v>
      </c>
      <c r="G4" s="204">
        <f>+G6+G259+G558+G857+G1156+G1455</f>
        <v>8273.2631000000001</v>
      </c>
      <c r="H4" s="204">
        <f>+H6+H259+H558+H857+H1156+H1455</f>
        <v>9478.4149999999991</v>
      </c>
    </row>
    <row r="6" spans="2:8" x14ac:dyDescent="0.25">
      <c r="B6" s="192" t="s">
        <v>103</v>
      </c>
      <c r="C6" s="193">
        <f>+C7+C9+C12+C39+C54+C56+C82+C94+C109+C117+C120+C123+C142+C147+C154+C169+C171+C174+C181+C186+C204+C230+C233+C242+C249+C253+C257</f>
        <v>1720903.2199999995</v>
      </c>
      <c r="E6" s="206">
        <f>+G6/C6</f>
        <v>4.807512127265357E-3</v>
      </c>
      <c r="F6" s="206">
        <f>+H6/C6</f>
        <v>0</v>
      </c>
      <c r="G6" s="205">
        <f>+G7+G9+G12</f>
        <v>8273.2631000000001</v>
      </c>
      <c r="H6" s="205">
        <f>+H7+H9+H12</f>
        <v>0</v>
      </c>
    </row>
    <row r="7" spans="2:8" hidden="1" outlineLevel="1" x14ac:dyDescent="0.25">
      <c r="B7" s="207" t="s">
        <v>104</v>
      </c>
      <c r="C7" s="208">
        <v>2101.94</v>
      </c>
      <c r="E7" s="209">
        <f>+G7/C7</f>
        <v>1</v>
      </c>
      <c r="F7" s="209">
        <f>+H7/C7</f>
        <v>0</v>
      </c>
      <c r="G7" s="210">
        <f>+G8</f>
        <v>2101.94</v>
      </c>
      <c r="H7" s="210">
        <f>+H8</f>
        <v>0</v>
      </c>
    </row>
    <row r="8" spans="2:8" hidden="1" outlineLevel="2" x14ac:dyDescent="0.25">
      <c r="B8" s="1" t="s">
        <v>105</v>
      </c>
      <c r="C8" s="191">
        <v>2101.94</v>
      </c>
      <c r="E8" s="197">
        <v>1</v>
      </c>
      <c r="F8" s="197">
        <v>0</v>
      </c>
      <c r="G8" s="198">
        <f>+E8*C8</f>
        <v>2101.94</v>
      </c>
      <c r="H8" s="198">
        <f>+F8*C8</f>
        <v>0</v>
      </c>
    </row>
    <row r="9" spans="2:8" hidden="1" outlineLevel="1" x14ac:dyDescent="0.25">
      <c r="B9" s="207" t="s">
        <v>106</v>
      </c>
      <c r="C9" s="208">
        <v>3471.96</v>
      </c>
      <c r="E9" s="209">
        <f>+G9/C9</f>
        <v>1</v>
      </c>
      <c r="F9" s="209">
        <f>+H9/C9</f>
        <v>0</v>
      </c>
      <c r="G9" s="210">
        <f>+G10+G11</f>
        <v>3471.96</v>
      </c>
      <c r="H9" s="210">
        <f>+H10+H11</f>
        <v>0</v>
      </c>
    </row>
    <row r="10" spans="2:8" hidden="1" outlineLevel="2" x14ac:dyDescent="0.25">
      <c r="B10" s="1" t="s">
        <v>107</v>
      </c>
      <c r="C10" s="191">
        <v>3471.96</v>
      </c>
      <c r="E10" s="197">
        <v>1</v>
      </c>
      <c r="F10" s="197">
        <v>0</v>
      </c>
      <c r="G10" s="198">
        <f>+E10*C10</f>
        <v>3471.96</v>
      </c>
      <c r="H10" s="198">
        <f>+F10*C10</f>
        <v>0</v>
      </c>
    </row>
    <row r="11" spans="2:8" hidden="1" outlineLevel="2" x14ac:dyDescent="0.25">
      <c r="B11" s="1" t="s">
        <v>108</v>
      </c>
      <c r="C11" s="191">
        <v>0</v>
      </c>
      <c r="E11" s="197">
        <v>1</v>
      </c>
      <c r="F11" s="197">
        <v>0</v>
      </c>
      <c r="G11" s="198">
        <f>+E11*C11</f>
        <v>0</v>
      </c>
      <c r="H11" s="198">
        <f>+F11*C11</f>
        <v>0</v>
      </c>
    </row>
    <row r="12" spans="2:8" hidden="1" outlineLevel="1" x14ac:dyDescent="0.25">
      <c r="B12" s="207" t="s">
        <v>109</v>
      </c>
      <c r="C12" s="208">
        <v>114357.79</v>
      </c>
      <c r="E12" s="209">
        <f>+G12/C12</f>
        <v>2.3604540626397202E-2</v>
      </c>
      <c r="F12" s="209">
        <f>+H12/C12</f>
        <v>0</v>
      </c>
      <c r="G12" s="210">
        <f>SUM(G13:G38)</f>
        <v>2699.3630999999996</v>
      </c>
      <c r="H12" s="210">
        <f>SUM(H13:H38)</f>
        <v>0</v>
      </c>
    </row>
    <row r="13" spans="2:8" hidden="1" outlineLevel="2" x14ac:dyDescent="0.25">
      <c r="B13" s="1" t="s">
        <v>110</v>
      </c>
      <c r="C13" s="191">
        <v>7809.03</v>
      </c>
      <c r="E13" s="197">
        <v>0.21</v>
      </c>
      <c r="F13" s="197">
        <v>0</v>
      </c>
      <c r="G13" s="198">
        <f>+E13*C13</f>
        <v>1639.8962999999999</v>
      </c>
      <c r="H13" s="198">
        <f>+F13*C13</f>
        <v>0</v>
      </c>
    </row>
    <row r="14" spans="2:8" hidden="1" outlineLevel="2" x14ac:dyDescent="0.25">
      <c r="B14" s="1" t="s">
        <v>111</v>
      </c>
      <c r="C14" s="191">
        <v>5045.08</v>
      </c>
      <c r="E14" s="197">
        <v>0.21</v>
      </c>
      <c r="F14" s="197">
        <v>0</v>
      </c>
      <c r="G14" s="198">
        <f>+E14*C14</f>
        <v>1059.4667999999999</v>
      </c>
      <c r="H14" s="198">
        <f>+F14*C14</f>
        <v>0</v>
      </c>
    </row>
    <row r="15" spans="2:8" hidden="1" outlineLevel="2" x14ac:dyDescent="0.25">
      <c r="B15" s="1" t="s">
        <v>112</v>
      </c>
      <c r="C15" s="191">
        <v>2143.3200000000002</v>
      </c>
      <c r="E15" s="197">
        <v>0</v>
      </c>
      <c r="F15" s="197">
        <v>0</v>
      </c>
      <c r="G15" s="198">
        <f t="shared" ref="G15:G38" si="0">+E15*C15</f>
        <v>0</v>
      </c>
      <c r="H15" s="198">
        <f t="shared" ref="H15:H38" si="1">+F15*C15</f>
        <v>0</v>
      </c>
    </row>
    <row r="16" spans="2:8" hidden="1" outlineLevel="2" x14ac:dyDescent="0.25">
      <c r="B16" s="1" t="s">
        <v>113</v>
      </c>
      <c r="C16" s="191">
        <v>2764.5</v>
      </c>
      <c r="E16" s="197">
        <v>0</v>
      </c>
      <c r="F16" s="197">
        <v>0</v>
      </c>
      <c r="G16" s="198">
        <f t="shared" si="0"/>
        <v>0</v>
      </c>
      <c r="H16" s="198">
        <f t="shared" si="1"/>
        <v>0</v>
      </c>
    </row>
    <row r="17" spans="2:8" hidden="1" outlineLevel="2" x14ac:dyDescent="0.25">
      <c r="B17" s="1" t="s">
        <v>114</v>
      </c>
      <c r="C17" s="191">
        <v>1573.13</v>
      </c>
      <c r="E17" s="197">
        <v>0</v>
      </c>
      <c r="F17" s="197">
        <v>0</v>
      </c>
      <c r="G17" s="198">
        <f t="shared" si="0"/>
        <v>0</v>
      </c>
      <c r="H17" s="198">
        <f t="shared" si="1"/>
        <v>0</v>
      </c>
    </row>
    <row r="18" spans="2:8" hidden="1" outlineLevel="2" x14ac:dyDescent="0.25">
      <c r="B18" s="1" t="s">
        <v>115</v>
      </c>
      <c r="C18" s="191">
        <v>549.67999999999995</v>
      </c>
      <c r="E18" s="197">
        <v>0</v>
      </c>
      <c r="F18" s="197">
        <v>0</v>
      </c>
      <c r="G18" s="198">
        <f t="shared" si="0"/>
        <v>0</v>
      </c>
      <c r="H18" s="198">
        <f t="shared" si="1"/>
        <v>0</v>
      </c>
    </row>
    <row r="19" spans="2:8" hidden="1" outlineLevel="2" x14ac:dyDescent="0.25">
      <c r="B19" s="1" t="s">
        <v>116</v>
      </c>
      <c r="C19" s="191">
        <v>1205.1199999999999</v>
      </c>
      <c r="E19" s="197">
        <v>0</v>
      </c>
      <c r="F19" s="197">
        <v>0</v>
      </c>
      <c r="G19" s="198">
        <f t="shared" si="0"/>
        <v>0</v>
      </c>
      <c r="H19" s="198">
        <f t="shared" si="1"/>
        <v>0</v>
      </c>
    </row>
    <row r="20" spans="2:8" hidden="1" outlineLevel="2" x14ac:dyDescent="0.25">
      <c r="B20" s="1" t="s">
        <v>117</v>
      </c>
      <c r="C20" s="191">
        <v>903.84</v>
      </c>
      <c r="E20" s="197">
        <v>0</v>
      </c>
      <c r="F20" s="197">
        <v>0</v>
      </c>
      <c r="G20" s="198">
        <f t="shared" si="0"/>
        <v>0</v>
      </c>
      <c r="H20" s="198">
        <f t="shared" si="1"/>
        <v>0</v>
      </c>
    </row>
    <row r="21" spans="2:8" hidden="1" outlineLevel="2" x14ac:dyDescent="0.25">
      <c r="B21" s="1" t="s">
        <v>118</v>
      </c>
      <c r="C21" s="191">
        <v>1475.2</v>
      </c>
      <c r="E21" s="197">
        <v>0</v>
      </c>
      <c r="F21" s="197">
        <v>0</v>
      </c>
      <c r="G21" s="198">
        <f t="shared" si="0"/>
        <v>0</v>
      </c>
      <c r="H21" s="198">
        <f t="shared" si="1"/>
        <v>0</v>
      </c>
    </row>
    <row r="22" spans="2:8" hidden="1" outlineLevel="2" x14ac:dyDescent="0.25">
      <c r="B22" s="1" t="s">
        <v>119</v>
      </c>
      <c r="C22" s="191">
        <v>2857.22</v>
      </c>
      <c r="E22" s="197">
        <v>0</v>
      </c>
      <c r="F22" s="197">
        <v>0</v>
      </c>
      <c r="G22" s="198">
        <f t="shared" si="0"/>
        <v>0</v>
      </c>
      <c r="H22" s="198">
        <f t="shared" si="1"/>
        <v>0</v>
      </c>
    </row>
    <row r="23" spans="2:8" hidden="1" outlineLevel="2" x14ac:dyDescent="0.25">
      <c r="B23" s="1" t="s">
        <v>120</v>
      </c>
      <c r="C23" s="191">
        <v>2531.7399999999998</v>
      </c>
      <c r="E23" s="197">
        <v>0</v>
      </c>
      <c r="F23" s="197">
        <v>0</v>
      </c>
      <c r="G23" s="198">
        <f t="shared" si="0"/>
        <v>0</v>
      </c>
      <c r="H23" s="198">
        <f t="shared" si="1"/>
        <v>0</v>
      </c>
    </row>
    <row r="24" spans="2:8" hidden="1" outlineLevel="2" x14ac:dyDescent="0.25">
      <c r="B24" s="1" t="s">
        <v>121</v>
      </c>
      <c r="C24" s="191">
        <v>574.99</v>
      </c>
      <c r="E24" s="197">
        <v>0</v>
      </c>
      <c r="F24" s="197">
        <v>0</v>
      </c>
      <c r="G24" s="198">
        <f t="shared" si="0"/>
        <v>0</v>
      </c>
      <c r="H24" s="198">
        <f t="shared" si="1"/>
        <v>0</v>
      </c>
    </row>
    <row r="25" spans="2:8" hidden="1" outlineLevel="2" x14ac:dyDescent="0.25">
      <c r="B25" s="1" t="s">
        <v>122</v>
      </c>
      <c r="C25" s="191">
        <v>3105.23</v>
      </c>
      <c r="E25" s="197">
        <v>0</v>
      </c>
      <c r="F25" s="197">
        <v>0</v>
      </c>
      <c r="G25" s="198">
        <f t="shared" si="0"/>
        <v>0</v>
      </c>
      <c r="H25" s="198">
        <f t="shared" si="1"/>
        <v>0</v>
      </c>
    </row>
    <row r="26" spans="2:8" hidden="1" outlineLevel="2" x14ac:dyDescent="0.25">
      <c r="B26" s="1" t="s">
        <v>123</v>
      </c>
      <c r="C26" s="191">
        <v>350.55</v>
      </c>
      <c r="E26" s="197">
        <v>0</v>
      </c>
      <c r="F26" s="197">
        <v>0</v>
      </c>
      <c r="G26" s="198">
        <f t="shared" si="0"/>
        <v>0</v>
      </c>
      <c r="H26" s="198">
        <f t="shared" si="1"/>
        <v>0</v>
      </c>
    </row>
    <row r="27" spans="2:8" hidden="1" outlineLevel="2" x14ac:dyDescent="0.25">
      <c r="B27" s="1" t="s">
        <v>124</v>
      </c>
      <c r="C27" s="191">
        <v>574.99</v>
      </c>
      <c r="E27" s="197">
        <v>0</v>
      </c>
      <c r="F27" s="197">
        <v>0</v>
      </c>
      <c r="G27" s="198">
        <f t="shared" si="0"/>
        <v>0</v>
      </c>
      <c r="H27" s="198">
        <f t="shared" si="1"/>
        <v>0</v>
      </c>
    </row>
    <row r="28" spans="2:8" hidden="1" outlineLevel="2" x14ac:dyDescent="0.25">
      <c r="B28" s="1" t="s">
        <v>125</v>
      </c>
      <c r="C28" s="191">
        <v>11705.73</v>
      </c>
      <c r="E28" s="197">
        <v>0</v>
      </c>
      <c r="F28" s="197">
        <v>0</v>
      </c>
      <c r="G28" s="198">
        <f t="shared" si="0"/>
        <v>0</v>
      </c>
      <c r="H28" s="198">
        <f t="shared" si="1"/>
        <v>0</v>
      </c>
    </row>
    <row r="29" spans="2:8" hidden="1" outlineLevel="2" x14ac:dyDescent="0.25">
      <c r="B29" s="1" t="s">
        <v>126</v>
      </c>
      <c r="C29" s="191">
        <v>6523.48</v>
      </c>
      <c r="E29" s="197">
        <v>0</v>
      </c>
      <c r="F29" s="197">
        <v>0</v>
      </c>
      <c r="G29" s="198">
        <f t="shared" si="0"/>
        <v>0</v>
      </c>
      <c r="H29" s="198">
        <f t="shared" si="1"/>
        <v>0</v>
      </c>
    </row>
    <row r="30" spans="2:8" hidden="1" outlineLevel="2" x14ac:dyDescent="0.25">
      <c r="B30" s="1" t="s">
        <v>127</v>
      </c>
      <c r="C30" s="191">
        <v>3303.29</v>
      </c>
      <c r="E30" s="197">
        <v>0</v>
      </c>
      <c r="F30" s="197">
        <v>0</v>
      </c>
      <c r="G30" s="198">
        <f t="shared" si="0"/>
        <v>0</v>
      </c>
      <c r="H30" s="198">
        <f t="shared" si="1"/>
        <v>0</v>
      </c>
    </row>
    <row r="31" spans="2:8" hidden="1" outlineLevel="2" x14ac:dyDescent="0.25">
      <c r="B31" s="1" t="s">
        <v>128</v>
      </c>
      <c r="C31" s="191">
        <v>5638.16</v>
      </c>
      <c r="E31" s="197">
        <v>0</v>
      </c>
      <c r="F31" s="197">
        <v>0</v>
      </c>
      <c r="G31" s="198">
        <f t="shared" si="0"/>
        <v>0</v>
      </c>
      <c r="H31" s="198">
        <f t="shared" si="1"/>
        <v>0</v>
      </c>
    </row>
    <row r="32" spans="2:8" hidden="1" outlineLevel="2" x14ac:dyDescent="0.25">
      <c r="B32" s="1" t="s">
        <v>129</v>
      </c>
      <c r="C32" s="191">
        <v>6583.86</v>
      </c>
      <c r="E32" s="197">
        <v>0</v>
      </c>
      <c r="F32" s="197">
        <v>0</v>
      </c>
      <c r="G32" s="198">
        <f t="shared" si="0"/>
        <v>0</v>
      </c>
      <c r="H32" s="198">
        <f t="shared" si="1"/>
        <v>0</v>
      </c>
    </row>
    <row r="33" spans="2:8" hidden="1" outlineLevel="2" x14ac:dyDescent="0.25">
      <c r="B33" s="1" t="s">
        <v>130</v>
      </c>
      <c r="C33" s="191">
        <v>30432.38</v>
      </c>
      <c r="E33" s="197">
        <v>0</v>
      </c>
      <c r="F33" s="197">
        <v>0</v>
      </c>
      <c r="G33" s="198">
        <f t="shared" si="0"/>
        <v>0</v>
      </c>
      <c r="H33" s="198">
        <f t="shared" si="1"/>
        <v>0</v>
      </c>
    </row>
    <row r="34" spans="2:8" hidden="1" outlineLevel="2" x14ac:dyDescent="0.25">
      <c r="B34" s="1" t="s">
        <v>131</v>
      </c>
      <c r="C34" s="191">
        <v>1632.22</v>
      </c>
      <c r="E34" s="197">
        <v>0</v>
      </c>
      <c r="F34" s="197">
        <v>0</v>
      </c>
      <c r="G34" s="198">
        <f t="shared" si="0"/>
        <v>0</v>
      </c>
      <c r="H34" s="198">
        <f t="shared" si="1"/>
        <v>0</v>
      </c>
    </row>
    <row r="35" spans="2:8" hidden="1" outlineLevel="2" x14ac:dyDescent="0.25">
      <c r="B35" s="1" t="s">
        <v>132</v>
      </c>
      <c r="C35" s="191">
        <v>2325.48</v>
      </c>
      <c r="E35" s="197">
        <v>0</v>
      </c>
      <c r="F35" s="197">
        <v>0</v>
      </c>
      <c r="G35" s="198">
        <f t="shared" si="0"/>
        <v>0</v>
      </c>
      <c r="H35" s="198">
        <f t="shared" si="1"/>
        <v>0</v>
      </c>
    </row>
    <row r="36" spans="2:8" hidden="1" outlineLevel="2" x14ac:dyDescent="0.25">
      <c r="B36" s="1" t="s">
        <v>133</v>
      </c>
      <c r="C36" s="191">
        <v>7596</v>
      </c>
      <c r="E36" s="197">
        <v>0</v>
      </c>
      <c r="F36" s="197">
        <v>0</v>
      </c>
      <c r="G36" s="198">
        <f t="shared" si="0"/>
        <v>0</v>
      </c>
      <c r="H36" s="198">
        <f t="shared" si="1"/>
        <v>0</v>
      </c>
    </row>
    <row r="37" spans="2:8" hidden="1" outlineLevel="2" x14ac:dyDescent="0.25">
      <c r="B37" s="1" t="s">
        <v>134</v>
      </c>
      <c r="C37" s="191">
        <v>2148.17</v>
      </c>
      <c r="E37" s="197">
        <v>0</v>
      </c>
      <c r="F37" s="197">
        <v>0</v>
      </c>
      <c r="G37" s="198">
        <f t="shared" si="0"/>
        <v>0</v>
      </c>
      <c r="H37" s="198">
        <f t="shared" si="1"/>
        <v>0</v>
      </c>
    </row>
    <row r="38" spans="2:8" hidden="1" outlineLevel="2" x14ac:dyDescent="0.25">
      <c r="B38" s="1" t="s">
        <v>135</v>
      </c>
      <c r="C38" s="191">
        <v>3005.4</v>
      </c>
      <c r="E38" s="197">
        <v>0</v>
      </c>
      <c r="F38" s="197">
        <v>0</v>
      </c>
      <c r="G38" s="198">
        <f t="shared" si="0"/>
        <v>0</v>
      </c>
      <c r="H38" s="198">
        <f t="shared" si="1"/>
        <v>0</v>
      </c>
    </row>
    <row r="39" spans="2:8" hidden="1" outlineLevel="1" x14ac:dyDescent="0.25">
      <c r="B39" s="207" t="s">
        <v>136</v>
      </c>
      <c r="C39" s="208">
        <v>142526.66</v>
      </c>
      <c r="E39" s="209"/>
      <c r="F39" s="209"/>
      <c r="G39" s="210"/>
      <c r="H39" s="210"/>
    </row>
    <row r="40" spans="2:8" hidden="1" outlineLevel="2" x14ac:dyDescent="0.25">
      <c r="B40" s="1" t="s">
        <v>137</v>
      </c>
      <c r="C40" s="191">
        <v>0</v>
      </c>
      <c r="E40" s="197">
        <v>0</v>
      </c>
      <c r="F40" s="197">
        <v>0</v>
      </c>
      <c r="G40" s="198">
        <f t="shared" ref="G40:G53" si="2">+E40*C40</f>
        <v>0</v>
      </c>
      <c r="H40" s="198">
        <f t="shared" ref="H40:H53" si="3">+F40*C40</f>
        <v>0</v>
      </c>
    </row>
    <row r="41" spans="2:8" hidden="1" outlineLevel="2" x14ac:dyDescent="0.25">
      <c r="B41" s="1" t="s">
        <v>138</v>
      </c>
      <c r="C41" s="191">
        <v>0</v>
      </c>
      <c r="E41" s="197">
        <v>0</v>
      </c>
      <c r="F41" s="197">
        <v>0</v>
      </c>
      <c r="G41" s="198">
        <f t="shared" si="2"/>
        <v>0</v>
      </c>
      <c r="H41" s="198">
        <f t="shared" si="3"/>
        <v>0</v>
      </c>
    </row>
    <row r="42" spans="2:8" hidden="1" outlineLevel="2" x14ac:dyDescent="0.25">
      <c r="B42" s="1" t="s">
        <v>139</v>
      </c>
      <c r="C42" s="191">
        <v>6659.71</v>
      </c>
      <c r="E42" s="197">
        <v>0</v>
      </c>
      <c r="F42" s="197">
        <v>0</v>
      </c>
      <c r="G42" s="198">
        <f t="shared" si="2"/>
        <v>0</v>
      </c>
      <c r="H42" s="198">
        <f t="shared" si="3"/>
        <v>0</v>
      </c>
    </row>
    <row r="43" spans="2:8" hidden="1" outlineLevel="2" x14ac:dyDescent="0.25">
      <c r="B43" s="1" t="s">
        <v>140</v>
      </c>
      <c r="C43" s="191">
        <v>1630.51</v>
      </c>
      <c r="E43" s="197">
        <v>0</v>
      </c>
      <c r="F43" s="197">
        <v>0</v>
      </c>
      <c r="G43" s="198">
        <f t="shared" si="2"/>
        <v>0</v>
      </c>
      <c r="H43" s="198">
        <f t="shared" si="3"/>
        <v>0</v>
      </c>
    </row>
    <row r="44" spans="2:8" hidden="1" outlineLevel="2" x14ac:dyDescent="0.25">
      <c r="B44" s="1" t="s">
        <v>141</v>
      </c>
      <c r="C44" s="191">
        <v>28258.41</v>
      </c>
      <c r="E44" s="197">
        <v>0</v>
      </c>
      <c r="F44" s="197">
        <v>0</v>
      </c>
      <c r="G44" s="198">
        <f t="shared" si="2"/>
        <v>0</v>
      </c>
      <c r="H44" s="198">
        <f t="shared" si="3"/>
        <v>0</v>
      </c>
    </row>
    <row r="45" spans="2:8" hidden="1" outlineLevel="2" x14ac:dyDescent="0.25">
      <c r="B45" s="1" t="s">
        <v>142</v>
      </c>
      <c r="C45" s="191">
        <v>6623.16</v>
      </c>
      <c r="E45" s="197">
        <v>0</v>
      </c>
      <c r="F45" s="197">
        <v>0</v>
      </c>
      <c r="G45" s="198">
        <f t="shared" si="2"/>
        <v>0</v>
      </c>
      <c r="H45" s="198">
        <f t="shared" si="3"/>
        <v>0</v>
      </c>
    </row>
    <row r="46" spans="2:8" hidden="1" outlineLevel="2" x14ac:dyDescent="0.25">
      <c r="B46" s="1" t="s">
        <v>143</v>
      </c>
      <c r="C46" s="191">
        <v>8627.4</v>
      </c>
      <c r="E46" s="197">
        <v>0</v>
      </c>
      <c r="F46" s="197">
        <v>0</v>
      </c>
      <c r="G46" s="198">
        <f t="shared" si="2"/>
        <v>0</v>
      </c>
      <c r="H46" s="198">
        <f t="shared" si="3"/>
        <v>0</v>
      </c>
    </row>
    <row r="47" spans="2:8" hidden="1" outlineLevel="2" x14ac:dyDescent="0.25">
      <c r="B47" s="1" t="s">
        <v>144</v>
      </c>
      <c r="C47" s="191">
        <v>4759.74</v>
      </c>
      <c r="E47" s="197">
        <v>0</v>
      </c>
      <c r="F47" s="197">
        <v>0</v>
      </c>
      <c r="G47" s="198">
        <f t="shared" si="2"/>
        <v>0</v>
      </c>
      <c r="H47" s="198">
        <f t="shared" si="3"/>
        <v>0</v>
      </c>
    </row>
    <row r="48" spans="2:8" hidden="1" outlineLevel="2" x14ac:dyDescent="0.25">
      <c r="B48" s="1" t="s">
        <v>145</v>
      </c>
      <c r="C48" s="191">
        <v>1930.42</v>
      </c>
      <c r="E48" s="197">
        <v>0</v>
      </c>
      <c r="F48" s="197">
        <v>0</v>
      </c>
      <c r="G48" s="198">
        <f t="shared" si="2"/>
        <v>0</v>
      </c>
      <c r="H48" s="198">
        <f t="shared" si="3"/>
        <v>0</v>
      </c>
    </row>
    <row r="49" spans="2:8" hidden="1" outlineLevel="2" x14ac:dyDescent="0.25">
      <c r="B49" s="1" t="s">
        <v>146</v>
      </c>
      <c r="C49" s="191">
        <v>15378.5</v>
      </c>
      <c r="E49" s="197">
        <v>0</v>
      </c>
      <c r="F49" s="197">
        <v>0</v>
      </c>
      <c r="G49" s="198">
        <f t="shared" si="2"/>
        <v>0</v>
      </c>
      <c r="H49" s="198">
        <f t="shared" si="3"/>
        <v>0</v>
      </c>
    </row>
    <row r="50" spans="2:8" hidden="1" outlineLevel="2" x14ac:dyDescent="0.25">
      <c r="B50" s="1" t="s">
        <v>147</v>
      </c>
      <c r="C50" s="191">
        <v>0</v>
      </c>
      <c r="E50" s="197">
        <v>0</v>
      </c>
      <c r="F50" s="197">
        <v>0</v>
      </c>
      <c r="G50" s="198">
        <f t="shared" si="2"/>
        <v>0</v>
      </c>
      <c r="H50" s="198">
        <f t="shared" si="3"/>
        <v>0</v>
      </c>
    </row>
    <row r="51" spans="2:8" hidden="1" outlineLevel="2" x14ac:dyDescent="0.25">
      <c r="B51" s="1" t="s">
        <v>148</v>
      </c>
      <c r="C51" s="191">
        <v>12036.42</v>
      </c>
      <c r="E51" s="197">
        <v>0</v>
      </c>
      <c r="F51" s="197">
        <v>0</v>
      </c>
      <c r="G51" s="198">
        <f t="shared" si="2"/>
        <v>0</v>
      </c>
      <c r="H51" s="198">
        <f t="shared" si="3"/>
        <v>0</v>
      </c>
    </row>
    <row r="52" spans="2:8" hidden="1" outlineLevel="2" x14ac:dyDescent="0.25">
      <c r="B52" s="1" t="s">
        <v>149</v>
      </c>
      <c r="C52" s="191">
        <v>43281.54</v>
      </c>
      <c r="E52" s="197">
        <v>0</v>
      </c>
      <c r="F52" s="197">
        <v>0</v>
      </c>
      <c r="G52" s="198">
        <f t="shared" si="2"/>
        <v>0</v>
      </c>
      <c r="H52" s="198">
        <f t="shared" si="3"/>
        <v>0</v>
      </c>
    </row>
    <row r="53" spans="2:8" hidden="1" outlineLevel="2" x14ac:dyDescent="0.25">
      <c r="B53" s="1" t="s">
        <v>150</v>
      </c>
      <c r="C53" s="191">
        <v>13340.85</v>
      </c>
      <c r="E53" s="197">
        <v>0</v>
      </c>
      <c r="F53" s="197">
        <v>0</v>
      </c>
      <c r="G53" s="198">
        <f t="shared" si="2"/>
        <v>0</v>
      </c>
      <c r="H53" s="198">
        <f t="shared" si="3"/>
        <v>0</v>
      </c>
    </row>
    <row r="54" spans="2:8" hidden="1" outlineLevel="1" collapsed="1" x14ac:dyDescent="0.25">
      <c r="B54" s="207" t="s">
        <v>151</v>
      </c>
      <c r="C54" s="208">
        <v>19320.240000000002</v>
      </c>
      <c r="E54" s="209"/>
      <c r="F54" s="209"/>
      <c r="G54" s="210"/>
      <c r="H54" s="210"/>
    </row>
    <row r="55" spans="2:8" hidden="1" outlineLevel="2" x14ac:dyDescent="0.25">
      <c r="B55" s="1" t="s">
        <v>152</v>
      </c>
      <c r="C55" s="191">
        <v>19320.240000000002</v>
      </c>
      <c r="E55" s="197">
        <v>0</v>
      </c>
      <c r="F55" s="197">
        <v>0</v>
      </c>
      <c r="G55" s="198">
        <f t="shared" ref="G55" si="4">+E55*C55</f>
        <v>0</v>
      </c>
      <c r="H55" s="198">
        <f t="shared" ref="H55" si="5">+F55*C55</f>
        <v>0</v>
      </c>
    </row>
    <row r="56" spans="2:8" hidden="1" outlineLevel="1" collapsed="1" x14ac:dyDescent="0.25">
      <c r="B56" s="51" t="s">
        <v>153</v>
      </c>
      <c r="C56" s="199">
        <v>118803.13</v>
      </c>
      <c r="E56" s="201"/>
      <c r="F56" s="201"/>
      <c r="G56" s="200"/>
      <c r="H56" s="200"/>
    </row>
    <row r="57" spans="2:8" hidden="1" outlineLevel="2" x14ac:dyDescent="0.25">
      <c r="B57" s="1" t="s">
        <v>154</v>
      </c>
      <c r="C57" s="191">
        <v>706.06</v>
      </c>
      <c r="E57" s="197">
        <v>0</v>
      </c>
      <c r="F57" s="197">
        <v>0</v>
      </c>
      <c r="G57" s="198">
        <f t="shared" ref="G57:G81" si="6">+E57*C57</f>
        <v>0</v>
      </c>
      <c r="H57" s="198">
        <f t="shared" ref="H57:H81" si="7">+F57*C57</f>
        <v>0</v>
      </c>
    </row>
    <row r="58" spans="2:8" hidden="1" outlineLevel="2" x14ac:dyDescent="0.25">
      <c r="B58" s="1" t="s">
        <v>155</v>
      </c>
      <c r="C58" s="191">
        <v>2255.35</v>
      </c>
      <c r="E58" s="197">
        <v>0</v>
      </c>
      <c r="F58" s="197">
        <v>0</v>
      </c>
      <c r="G58" s="198">
        <f t="shared" si="6"/>
        <v>0</v>
      </c>
      <c r="H58" s="198">
        <f t="shared" si="7"/>
        <v>0</v>
      </c>
    </row>
    <row r="59" spans="2:8" hidden="1" outlineLevel="2" x14ac:dyDescent="0.25">
      <c r="B59" s="1" t="s">
        <v>156</v>
      </c>
      <c r="C59" s="191">
        <v>3503.1</v>
      </c>
      <c r="E59" s="197">
        <v>0</v>
      </c>
      <c r="F59" s="197">
        <v>0</v>
      </c>
      <c r="G59" s="198">
        <f t="shared" si="6"/>
        <v>0</v>
      </c>
      <c r="H59" s="198">
        <f t="shared" si="7"/>
        <v>0</v>
      </c>
    </row>
    <row r="60" spans="2:8" hidden="1" outlineLevel="2" x14ac:dyDescent="0.25">
      <c r="B60" s="1" t="s">
        <v>157</v>
      </c>
      <c r="C60" s="191">
        <v>2909.44</v>
      </c>
      <c r="E60" s="197">
        <v>0</v>
      </c>
      <c r="F60" s="197">
        <v>0</v>
      </c>
      <c r="G60" s="198">
        <f t="shared" si="6"/>
        <v>0</v>
      </c>
      <c r="H60" s="198">
        <f t="shared" si="7"/>
        <v>0</v>
      </c>
    </row>
    <row r="61" spans="2:8" hidden="1" outlineLevel="2" x14ac:dyDescent="0.25">
      <c r="B61" s="1" t="s">
        <v>158</v>
      </c>
      <c r="C61" s="191">
        <v>2315.7600000000002</v>
      </c>
      <c r="E61" s="197">
        <v>0</v>
      </c>
      <c r="F61" s="197">
        <v>0</v>
      </c>
      <c r="G61" s="198">
        <f t="shared" si="6"/>
        <v>0</v>
      </c>
      <c r="H61" s="198">
        <f t="shared" si="7"/>
        <v>0</v>
      </c>
    </row>
    <row r="62" spans="2:8" hidden="1" outlineLevel="2" x14ac:dyDescent="0.25">
      <c r="B62" s="1" t="s">
        <v>159</v>
      </c>
      <c r="C62" s="191">
        <v>7986.5</v>
      </c>
      <c r="E62" s="197">
        <v>0</v>
      </c>
      <c r="F62" s="197">
        <v>0</v>
      </c>
      <c r="G62" s="198">
        <f t="shared" si="6"/>
        <v>0</v>
      </c>
      <c r="H62" s="198">
        <f t="shared" si="7"/>
        <v>0</v>
      </c>
    </row>
    <row r="63" spans="2:8" hidden="1" outlineLevel="2" x14ac:dyDescent="0.25">
      <c r="B63" s="1" t="s">
        <v>160</v>
      </c>
      <c r="C63" s="191">
        <v>12681.12</v>
      </c>
      <c r="E63" s="197">
        <v>0</v>
      </c>
      <c r="F63" s="197">
        <v>0</v>
      </c>
      <c r="G63" s="198">
        <f t="shared" si="6"/>
        <v>0</v>
      </c>
      <c r="H63" s="198">
        <f t="shared" si="7"/>
        <v>0</v>
      </c>
    </row>
    <row r="64" spans="2:8" hidden="1" outlineLevel="2" x14ac:dyDescent="0.25">
      <c r="B64" s="1" t="s">
        <v>161</v>
      </c>
      <c r="C64" s="191">
        <v>2427.91</v>
      </c>
      <c r="E64" s="197">
        <v>0</v>
      </c>
      <c r="F64" s="197">
        <v>0</v>
      </c>
      <c r="G64" s="198">
        <f t="shared" si="6"/>
        <v>0</v>
      </c>
      <c r="H64" s="198">
        <f t="shared" si="7"/>
        <v>0</v>
      </c>
    </row>
    <row r="65" spans="2:8" hidden="1" outlineLevel="2" x14ac:dyDescent="0.25">
      <c r="B65" s="1" t="s">
        <v>162</v>
      </c>
      <c r="C65" s="191">
        <v>4151.0200000000004</v>
      </c>
      <c r="E65" s="197">
        <v>0</v>
      </c>
      <c r="F65" s="197">
        <v>0</v>
      </c>
      <c r="G65" s="198">
        <f t="shared" si="6"/>
        <v>0</v>
      </c>
      <c r="H65" s="198">
        <f t="shared" si="7"/>
        <v>0</v>
      </c>
    </row>
    <row r="66" spans="2:8" hidden="1" outlineLevel="2" x14ac:dyDescent="0.25">
      <c r="B66" s="1" t="s">
        <v>163</v>
      </c>
      <c r="C66" s="191">
        <v>1305.8399999999999</v>
      </c>
      <c r="E66" s="197">
        <v>0</v>
      </c>
      <c r="F66" s="197">
        <v>0</v>
      </c>
      <c r="G66" s="198">
        <f t="shared" si="6"/>
        <v>0</v>
      </c>
      <c r="H66" s="198">
        <f t="shared" si="7"/>
        <v>0</v>
      </c>
    </row>
    <row r="67" spans="2:8" hidden="1" outlineLevel="2" x14ac:dyDescent="0.25">
      <c r="B67" s="1" t="s">
        <v>164</v>
      </c>
      <c r="C67" s="191">
        <v>4403.43</v>
      </c>
      <c r="E67" s="197">
        <v>0</v>
      </c>
      <c r="F67" s="197">
        <v>0</v>
      </c>
      <c r="G67" s="198">
        <f t="shared" si="6"/>
        <v>0</v>
      </c>
      <c r="H67" s="198">
        <f t="shared" si="7"/>
        <v>0</v>
      </c>
    </row>
    <row r="68" spans="2:8" hidden="1" outlineLevel="2" x14ac:dyDescent="0.25">
      <c r="B68" s="1" t="s">
        <v>165</v>
      </c>
      <c r="C68" s="191">
        <v>3285.06</v>
      </c>
      <c r="E68" s="197">
        <v>0</v>
      </c>
      <c r="F68" s="197">
        <v>0</v>
      </c>
      <c r="G68" s="198">
        <f t="shared" si="6"/>
        <v>0</v>
      </c>
      <c r="H68" s="198">
        <f t="shared" si="7"/>
        <v>0</v>
      </c>
    </row>
    <row r="69" spans="2:8" hidden="1" outlineLevel="2" x14ac:dyDescent="0.25">
      <c r="B69" s="1" t="s">
        <v>166</v>
      </c>
      <c r="C69" s="191">
        <v>22457.19</v>
      </c>
      <c r="E69" s="197">
        <v>0</v>
      </c>
      <c r="F69" s="197">
        <v>0</v>
      </c>
      <c r="G69" s="198">
        <f t="shared" si="6"/>
        <v>0</v>
      </c>
      <c r="H69" s="198">
        <f t="shared" si="7"/>
        <v>0</v>
      </c>
    </row>
    <row r="70" spans="2:8" hidden="1" outlineLevel="2" x14ac:dyDescent="0.25">
      <c r="B70" s="1" t="s">
        <v>167</v>
      </c>
      <c r="C70" s="191">
        <v>24413.52</v>
      </c>
      <c r="E70" s="197">
        <v>0</v>
      </c>
      <c r="F70" s="197">
        <v>0</v>
      </c>
      <c r="G70" s="198">
        <f t="shared" si="6"/>
        <v>0</v>
      </c>
      <c r="H70" s="198">
        <f t="shared" si="7"/>
        <v>0</v>
      </c>
    </row>
    <row r="71" spans="2:8" hidden="1" outlineLevel="2" x14ac:dyDescent="0.25">
      <c r="B71" s="1" t="s">
        <v>131</v>
      </c>
      <c r="C71" s="191">
        <v>1977</v>
      </c>
      <c r="E71" s="197">
        <v>0</v>
      </c>
      <c r="F71" s="197">
        <v>0</v>
      </c>
      <c r="G71" s="198">
        <f t="shared" si="6"/>
        <v>0</v>
      </c>
      <c r="H71" s="198">
        <f t="shared" si="7"/>
        <v>0</v>
      </c>
    </row>
    <row r="72" spans="2:8" hidden="1" outlineLevel="2" x14ac:dyDescent="0.25">
      <c r="B72" s="1" t="s">
        <v>168</v>
      </c>
      <c r="C72" s="191">
        <v>6758.73</v>
      </c>
      <c r="E72" s="197">
        <v>0</v>
      </c>
      <c r="F72" s="197">
        <v>0</v>
      </c>
      <c r="G72" s="198">
        <f t="shared" si="6"/>
        <v>0</v>
      </c>
      <c r="H72" s="198">
        <f t="shared" si="7"/>
        <v>0</v>
      </c>
    </row>
    <row r="73" spans="2:8" hidden="1" outlineLevel="2" x14ac:dyDescent="0.25">
      <c r="B73" s="1" t="s">
        <v>169</v>
      </c>
      <c r="C73" s="191">
        <v>5471.78</v>
      </c>
      <c r="E73" s="197">
        <v>0</v>
      </c>
      <c r="F73" s="197">
        <v>0</v>
      </c>
      <c r="G73" s="198">
        <f t="shared" si="6"/>
        <v>0</v>
      </c>
      <c r="H73" s="198">
        <f t="shared" si="7"/>
        <v>0</v>
      </c>
    </row>
    <row r="74" spans="2:8" hidden="1" outlineLevel="2" x14ac:dyDescent="0.25">
      <c r="B74" s="1" t="s">
        <v>116</v>
      </c>
      <c r="C74" s="191">
        <v>1411.38</v>
      </c>
      <c r="E74" s="197">
        <v>0</v>
      </c>
      <c r="F74" s="197">
        <v>0</v>
      </c>
      <c r="G74" s="198">
        <f t="shared" si="6"/>
        <v>0</v>
      </c>
      <c r="H74" s="198">
        <f t="shared" si="7"/>
        <v>0</v>
      </c>
    </row>
    <row r="75" spans="2:8" hidden="1" outlineLevel="2" x14ac:dyDescent="0.25">
      <c r="B75" s="1" t="s">
        <v>117</v>
      </c>
      <c r="C75" s="191">
        <v>1411.38</v>
      </c>
      <c r="E75" s="197">
        <v>0</v>
      </c>
      <c r="F75" s="197">
        <v>0</v>
      </c>
      <c r="G75" s="198">
        <f t="shared" si="6"/>
        <v>0</v>
      </c>
      <c r="H75" s="198">
        <f t="shared" si="7"/>
        <v>0</v>
      </c>
    </row>
    <row r="76" spans="2:8" hidden="1" outlineLevel="2" x14ac:dyDescent="0.25">
      <c r="B76" s="1" t="s">
        <v>170</v>
      </c>
      <c r="C76" s="191">
        <v>1227.26</v>
      </c>
      <c r="E76" s="197">
        <v>0</v>
      </c>
      <c r="F76" s="197">
        <v>0</v>
      </c>
      <c r="G76" s="198">
        <f t="shared" si="6"/>
        <v>0</v>
      </c>
      <c r="H76" s="198">
        <f t="shared" si="7"/>
        <v>0</v>
      </c>
    </row>
    <row r="77" spans="2:8" hidden="1" outlineLevel="2" x14ac:dyDescent="0.25">
      <c r="B77" s="1" t="s">
        <v>171</v>
      </c>
      <c r="C77" s="191">
        <v>2250.4299999999998</v>
      </c>
      <c r="E77" s="197">
        <v>0</v>
      </c>
      <c r="F77" s="197">
        <v>0</v>
      </c>
      <c r="G77" s="198">
        <f t="shared" si="6"/>
        <v>0</v>
      </c>
      <c r="H77" s="198">
        <f t="shared" si="7"/>
        <v>0</v>
      </c>
    </row>
    <row r="78" spans="2:8" hidden="1" outlineLevel="2" x14ac:dyDescent="0.25">
      <c r="B78" s="1" t="s">
        <v>121</v>
      </c>
      <c r="C78" s="191">
        <v>574.99</v>
      </c>
      <c r="E78" s="197">
        <v>0</v>
      </c>
      <c r="F78" s="197">
        <v>0</v>
      </c>
      <c r="G78" s="198">
        <f t="shared" si="6"/>
        <v>0</v>
      </c>
      <c r="H78" s="198">
        <f t="shared" si="7"/>
        <v>0</v>
      </c>
    </row>
    <row r="79" spans="2:8" hidden="1" outlineLevel="2" x14ac:dyDescent="0.25">
      <c r="B79" s="1" t="s">
        <v>172</v>
      </c>
      <c r="C79" s="191">
        <v>1376.37</v>
      </c>
      <c r="E79" s="197">
        <v>0</v>
      </c>
      <c r="F79" s="197">
        <v>0</v>
      </c>
      <c r="G79" s="198">
        <f t="shared" si="6"/>
        <v>0</v>
      </c>
      <c r="H79" s="198">
        <f t="shared" si="7"/>
        <v>0</v>
      </c>
    </row>
    <row r="80" spans="2:8" hidden="1" outlineLevel="2" x14ac:dyDescent="0.25">
      <c r="B80" s="1" t="s">
        <v>173</v>
      </c>
      <c r="C80" s="191">
        <v>967.52</v>
      </c>
      <c r="E80" s="197">
        <v>0</v>
      </c>
      <c r="F80" s="197">
        <v>0</v>
      </c>
      <c r="G80" s="198">
        <f t="shared" si="6"/>
        <v>0</v>
      </c>
      <c r="H80" s="198">
        <f t="shared" si="7"/>
        <v>0</v>
      </c>
    </row>
    <row r="81" spans="2:8" hidden="1" outlineLevel="2" x14ac:dyDescent="0.25">
      <c r="B81" s="1" t="s">
        <v>124</v>
      </c>
      <c r="C81" s="191">
        <v>574.99</v>
      </c>
      <c r="E81" s="197">
        <v>0</v>
      </c>
      <c r="F81" s="197">
        <v>0</v>
      </c>
      <c r="G81" s="198">
        <f t="shared" si="6"/>
        <v>0</v>
      </c>
      <c r="H81" s="198">
        <f t="shared" si="7"/>
        <v>0</v>
      </c>
    </row>
    <row r="82" spans="2:8" hidden="1" outlineLevel="1" collapsed="1" x14ac:dyDescent="0.25">
      <c r="B82" s="207" t="s">
        <v>174</v>
      </c>
      <c r="C82" s="208">
        <v>203302.15</v>
      </c>
      <c r="E82" s="209"/>
      <c r="F82" s="209"/>
      <c r="G82" s="210"/>
      <c r="H82" s="210"/>
    </row>
    <row r="83" spans="2:8" hidden="1" outlineLevel="2" x14ac:dyDescent="0.25">
      <c r="B83" s="1" t="s">
        <v>175</v>
      </c>
      <c r="C83" s="191">
        <v>0</v>
      </c>
      <c r="E83" s="197">
        <v>0</v>
      </c>
      <c r="F83" s="197">
        <v>0</v>
      </c>
      <c r="G83" s="198">
        <f t="shared" ref="G83:G93" si="8">+E83*C83</f>
        <v>0</v>
      </c>
      <c r="H83" s="198">
        <f t="shared" ref="H83:H93" si="9">+F83*C83</f>
        <v>0</v>
      </c>
    </row>
    <row r="84" spans="2:8" hidden="1" outlineLevel="2" x14ac:dyDescent="0.25">
      <c r="B84" s="1" t="s">
        <v>138</v>
      </c>
      <c r="C84" s="191">
        <v>6504.92</v>
      </c>
      <c r="E84" s="197">
        <v>0</v>
      </c>
      <c r="F84" s="197">
        <v>0</v>
      </c>
      <c r="G84" s="198">
        <f t="shared" si="8"/>
        <v>0</v>
      </c>
      <c r="H84" s="198">
        <f t="shared" si="9"/>
        <v>0</v>
      </c>
    </row>
    <row r="85" spans="2:8" hidden="1" outlineLevel="2" x14ac:dyDescent="0.25">
      <c r="B85" s="1" t="s">
        <v>139</v>
      </c>
      <c r="C85" s="191">
        <v>11814.9</v>
      </c>
      <c r="E85" s="197">
        <v>0</v>
      </c>
      <c r="F85" s="197">
        <v>0</v>
      </c>
      <c r="G85" s="198">
        <f t="shared" si="8"/>
        <v>0</v>
      </c>
      <c r="H85" s="198">
        <f t="shared" si="9"/>
        <v>0</v>
      </c>
    </row>
    <row r="86" spans="2:8" hidden="1" outlineLevel="2" x14ac:dyDescent="0.25">
      <c r="B86" s="1" t="s">
        <v>140</v>
      </c>
      <c r="C86" s="191">
        <v>5150.71</v>
      </c>
      <c r="E86" s="197">
        <v>0</v>
      </c>
      <c r="F86" s="197">
        <v>0</v>
      </c>
      <c r="G86" s="198">
        <f t="shared" si="8"/>
        <v>0</v>
      </c>
      <c r="H86" s="198">
        <f t="shared" si="9"/>
        <v>0</v>
      </c>
    </row>
    <row r="87" spans="2:8" hidden="1" outlineLevel="2" x14ac:dyDescent="0.25">
      <c r="B87" s="1" t="s">
        <v>141</v>
      </c>
      <c r="C87" s="191">
        <v>47507.64</v>
      </c>
      <c r="E87" s="197">
        <v>0</v>
      </c>
      <c r="F87" s="197">
        <v>0</v>
      </c>
      <c r="G87" s="198">
        <f t="shared" si="8"/>
        <v>0</v>
      </c>
      <c r="H87" s="198">
        <f t="shared" si="9"/>
        <v>0</v>
      </c>
    </row>
    <row r="88" spans="2:8" hidden="1" outlineLevel="2" x14ac:dyDescent="0.25">
      <c r="B88" s="1" t="s">
        <v>142</v>
      </c>
      <c r="C88" s="191">
        <v>2823</v>
      </c>
      <c r="E88" s="197">
        <v>0</v>
      </c>
      <c r="F88" s="197">
        <v>0</v>
      </c>
      <c r="G88" s="198">
        <f t="shared" si="8"/>
        <v>0</v>
      </c>
      <c r="H88" s="198">
        <f t="shared" si="9"/>
        <v>0</v>
      </c>
    </row>
    <row r="89" spans="2:8" hidden="1" outlineLevel="2" x14ac:dyDescent="0.25">
      <c r="B89" s="1" t="s">
        <v>143</v>
      </c>
      <c r="C89" s="191">
        <v>13197.36</v>
      </c>
      <c r="E89" s="197">
        <v>0</v>
      </c>
      <c r="F89" s="197">
        <v>0</v>
      </c>
      <c r="G89" s="198">
        <f t="shared" si="8"/>
        <v>0</v>
      </c>
      <c r="H89" s="198">
        <f t="shared" si="9"/>
        <v>0</v>
      </c>
    </row>
    <row r="90" spans="2:8" hidden="1" outlineLevel="2" x14ac:dyDescent="0.25">
      <c r="B90" s="1" t="s">
        <v>146</v>
      </c>
      <c r="C90" s="191">
        <v>16847.900000000001</v>
      </c>
      <c r="E90" s="197">
        <v>0</v>
      </c>
      <c r="F90" s="197">
        <v>0</v>
      </c>
      <c r="G90" s="198">
        <f t="shared" si="8"/>
        <v>0</v>
      </c>
      <c r="H90" s="198">
        <f t="shared" si="9"/>
        <v>0</v>
      </c>
    </row>
    <row r="91" spans="2:8" hidden="1" outlineLevel="2" x14ac:dyDescent="0.25">
      <c r="B91" s="1" t="s">
        <v>148</v>
      </c>
      <c r="C91" s="191">
        <v>22412.86</v>
      </c>
      <c r="E91" s="197">
        <v>0</v>
      </c>
      <c r="F91" s="197">
        <v>0</v>
      </c>
      <c r="G91" s="198">
        <f t="shared" si="8"/>
        <v>0</v>
      </c>
      <c r="H91" s="198">
        <f t="shared" si="9"/>
        <v>0</v>
      </c>
    </row>
    <row r="92" spans="2:8" hidden="1" outlineLevel="2" x14ac:dyDescent="0.25">
      <c r="B92" s="1" t="s">
        <v>149</v>
      </c>
      <c r="C92" s="191">
        <v>51035.76</v>
      </c>
      <c r="E92" s="197">
        <v>0</v>
      </c>
      <c r="F92" s="197">
        <v>0</v>
      </c>
      <c r="G92" s="198">
        <f t="shared" si="8"/>
        <v>0</v>
      </c>
      <c r="H92" s="198">
        <f t="shared" si="9"/>
        <v>0</v>
      </c>
    </row>
    <row r="93" spans="2:8" hidden="1" outlineLevel="2" x14ac:dyDescent="0.25">
      <c r="B93" s="1" t="s">
        <v>176</v>
      </c>
      <c r="C93" s="191">
        <v>26007.1</v>
      </c>
      <c r="E93" s="197">
        <v>0</v>
      </c>
      <c r="F93" s="197">
        <v>0</v>
      </c>
      <c r="G93" s="198">
        <f t="shared" si="8"/>
        <v>0</v>
      </c>
      <c r="H93" s="198">
        <f t="shared" si="9"/>
        <v>0</v>
      </c>
    </row>
    <row r="94" spans="2:8" hidden="1" outlineLevel="1" collapsed="1" x14ac:dyDescent="0.25">
      <c r="B94" s="207" t="s">
        <v>177</v>
      </c>
      <c r="C94" s="208">
        <v>98367.6</v>
      </c>
      <c r="E94" s="209"/>
      <c r="F94" s="209"/>
      <c r="G94" s="210"/>
      <c r="H94" s="210"/>
    </row>
    <row r="95" spans="2:8" hidden="1" outlineLevel="2" x14ac:dyDescent="0.25">
      <c r="B95" s="1" t="s">
        <v>178</v>
      </c>
      <c r="C95" s="191">
        <v>5979.6</v>
      </c>
      <c r="E95" s="197">
        <v>0</v>
      </c>
      <c r="F95" s="197">
        <v>0</v>
      </c>
      <c r="G95" s="198">
        <f t="shared" ref="G95:G108" si="10">+E95*C95</f>
        <v>0</v>
      </c>
      <c r="H95" s="198">
        <f t="shared" ref="H95:H108" si="11">+F95*C95</f>
        <v>0</v>
      </c>
    </row>
    <row r="96" spans="2:8" hidden="1" outlineLevel="2" x14ac:dyDescent="0.25">
      <c r="B96" s="1" t="s">
        <v>179</v>
      </c>
      <c r="C96" s="191">
        <v>10233.469999999999</v>
      </c>
      <c r="E96" s="197">
        <v>0</v>
      </c>
      <c r="F96" s="197">
        <v>0</v>
      </c>
      <c r="G96" s="198">
        <f t="shared" si="10"/>
        <v>0</v>
      </c>
      <c r="H96" s="198">
        <f t="shared" si="11"/>
        <v>0</v>
      </c>
    </row>
    <row r="97" spans="2:8" hidden="1" outlineLevel="2" x14ac:dyDescent="0.25">
      <c r="B97" s="1" t="s">
        <v>180</v>
      </c>
      <c r="C97" s="191">
        <v>1790.52</v>
      </c>
      <c r="E97" s="197">
        <v>0</v>
      </c>
      <c r="F97" s="197">
        <v>0</v>
      </c>
      <c r="G97" s="198">
        <f t="shared" si="10"/>
        <v>0</v>
      </c>
      <c r="H97" s="198">
        <f t="shared" si="11"/>
        <v>0</v>
      </c>
    </row>
    <row r="98" spans="2:8" hidden="1" outlineLevel="2" x14ac:dyDescent="0.25">
      <c r="B98" s="1" t="s">
        <v>181</v>
      </c>
      <c r="C98" s="191">
        <v>605.75</v>
      </c>
      <c r="E98" s="197">
        <v>0</v>
      </c>
      <c r="F98" s="197">
        <v>0</v>
      </c>
      <c r="G98" s="198">
        <f t="shared" si="10"/>
        <v>0</v>
      </c>
      <c r="H98" s="198">
        <f t="shared" si="11"/>
        <v>0</v>
      </c>
    </row>
    <row r="99" spans="2:8" hidden="1" outlineLevel="2" x14ac:dyDescent="0.25">
      <c r="B99" s="1" t="s">
        <v>182</v>
      </c>
      <c r="C99" s="191">
        <v>489.89</v>
      </c>
      <c r="E99" s="197">
        <v>0</v>
      </c>
      <c r="F99" s="197">
        <v>0</v>
      </c>
      <c r="G99" s="198">
        <f t="shared" si="10"/>
        <v>0</v>
      </c>
      <c r="H99" s="198">
        <f t="shared" si="11"/>
        <v>0</v>
      </c>
    </row>
    <row r="100" spans="2:8" hidden="1" outlineLevel="2" x14ac:dyDescent="0.25">
      <c r="B100" s="1" t="s">
        <v>183</v>
      </c>
      <c r="C100" s="191">
        <v>231.43</v>
      </c>
      <c r="E100" s="197">
        <v>0</v>
      </c>
      <c r="F100" s="197">
        <v>0</v>
      </c>
      <c r="G100" s="198">
        <f t="shared" si="10"/>
        <v>0</v>
      </c>
      <c r="H100" s="198">
        <f t="shared" si="11"/>
        <v>0</v>
      </c>
    </row>
    <row r="101" spans="2:8" hidden="1" outlineLevel="2" x14ac:dyDescent="0.25">
      <c r="B101" s="1" t="s">
        <v>184</v>
      </c>
      <c r="C101" s="191">
        <v>2226.65</v>
      </c>
      <c r="E101" s="197">
        <v>0</v>
      </c>
      <c r="F101" s="197">
        <v>0</v>
      </c>
      <c r="G101" s="198">
        <f t="shared" si="10"/>
        <v>0</v>
      </c>
      <c r="H101" s="198">
        <f t="shared" si="11"/>
        <v>0</v>
      </c>
    </row>
    <row r="102" spans="2:8" hidden="1" outlineLevel="2" x14ac:dyDescent="0.25">
      <c r="B102" s="1" t="s">
        <v>185</v>
      </c>
      <c r="C102" s="191">
        <v>5399.22</v>
      </c>
      <c r="E102" s="197">
        <v>0</v>
      </c>
      <c r="F102" s="197">
        <v>0</v>
      </c>
      <c r="G102" s="198">
        <f t="shared" si="10"/>
        <v>0</v>
      </c>
      <c r="H102" s="198">
        <f t="shared" si="11"/>
        <v>0</v>
      </c>
    </row>
    <row r="103" spans="2:8" hidden="1" outlineLevel="2" x14ac:dyDescent="0.25">
      <c r="B103" s="1" t="s">
        <v>186</v>
      </c>
      <c r="C103" s="191">
        <v>14539.28</v>
      </c>
      <c r="E103" s="197">
        <v>0</v>
      </c>
      <c r="F103" s="197">
        <v>0</v>
      </c>
      <c r="G103" s="198">
        <f t="shared" si="10"/>
        <v>0</v>
      </c>
      <c r="H103" s="198">
        <f t="shared" si="11"/>
        <v>0</v>
      </c>
    </row>
    <row r="104" spans="2:8" hidden="1" outlineLevel="2" x14ac:dyDescent="0.25">
      <c r="B104" s="1" t="s">
        <v>165</v>
      </c>
      <c r="C104" s="191">
        <v>3345.03</v>
      </c>
      <c r="E104" s="197">
        <v>0</v>
      </c>
      <c r="F104" s="197">
        <v>0</v>
      </c>
      <c r="G104" s="198">
        <f t="shared" si="10"/>
        <v>0</v>
      </c>
      <c r="H104" s="198">
        <f t="shared" si="11"/>
        <v>0</v>
      </c>
    </row>
    <row r="105" spans="2:8" hidden="1" outlineLevel="2" x14ac:dyDescent="0.25">
      <c r="B105" s="1" t="s">
        <v>187</v>
      </c>
      <c r="C105" s="191">
        <v>26392.14</v>
      </c>
      <c r="E105" s="197">
        <v>0</v>
      </c>
      <c r="F105" s="197">
        <v>0</v>
      </c>
      <c r="G105" s="198">
        <f t="shared" si="10"/>
        <v>0</v>
      </c>
      <c r="H105" s="198">
        <f t="shared" si="11"/>
        <v>0</v>
      </c>
    </row>
    <row r="106" spans="2:8" hidden="1" outlineLevel="2" x14ac:dyDescent="0.25">
      <c r="B106" s="1" t="s">
        <v>131</v>
      </c>
      <c r="C106" s="191">
        <v>2094.73</v>
      </c>
      <c r="E106" s="197">
        <v>0</v>
      </c>
      <c r="F106" s="197">
        <v>0</v>
      </c>
      <c r="G106" s="198">
        <f t="shared" si="10"/>
        <v>0</v>
      </c>
      <c r="H106" s="198">
        <f t="shared" si="11"/>
        <v>0</v>
      </c>
    </row>
    <row r="107" spans="2:8" hidden="1" outlineLevel="2" x14ac:dyDescent="0.25">
      <c r="B107" s="1" t="s">
        <v>166</v>
      </c>
      <c r="C107" s="191">
        <v>22883.13</v>
      </c>
      <c r="E107" s="197">
        <v>0</v>
      </c>
      <c r="F107" s="197">
        <v>0</v>
      </c>
      <c r="G107" s="198">
        <f t="shared" si="10"/>
        <v>0</v>
      </c>
      <c r="H107" s="198">
        <f t="shared" si="11"/>
        <v>0</v>
      </c>
    </row>
    <row r="108" spans="2:8" hidden="1" outlineLevel="2" x14ac:dyDescent="0.25">
      <c r="B108" s="1" t="s">
        <v>188</v>
      </c>
      <c r="C108" s="191">
        <v>2156.7600000000002</v>
      </c>
      <c r="E108" s="197">
        <v>0</v>
      </c>
      <c r="F108" s="197">
        <v>0</v>
      </c>
      <c r="G108" s="198">
        <f t="shared" si="10"/>
        <v>0</v>
      </c>
      <c r="H108" s="198">
        <f t="shared" si="11"/>
        <v>0</v>
      </c>
    </row>
    <row r="109" spans="2:8" hidden="1" outlineLevel="1" collapsed="1" x14ac:dyDescent="0.25">
      <c r="B109" s="207" t="s">
        <v>189</v>
      </c>
      <c r="C109" s="208">
        <v>49587.97</v>
      </c>
      <c r="E109" s="209"/>
      <c r="F109" s="209"/>
      <c r="G109" s="210"/>
      <c r="H109" s="210"/>
    </row>
    <row r="110" spans="2:8" hidden="1" outlineLevel="2" x14ac:dyDescent="0.25">
      <c r="B110" s="1" t="s">
        <v>138</v>
      </c>
      <c r="C110" s="191">
        <v>2222.52</v>
      </c>
      <c r="E110" s="197">
        <v>0</v>
      </c>
      <c r="F110" s="197">
        <v>0</v>
      </c>
      <c r="G110" s="198">
        <f t="shared" ref="G110:G116" si="12">+E110*C110</f>
        <v>0</v>
      </c>
      <c r="H110" s="198">
        <f t="shared" ref="H110:H116" si="13">+F110*C110</f>
        <v>0</v>
      </c>
    </row>
    <row r="111" spans="2:8" hidden="1" outlineLevel="2" x14ac:dyDescent="0.25">
      <c r="B111" s="1" t="s">
        <v>190</v>
      </c>
      <c r="C111" s="191">
        <v>9021.93</v>
      </c>
      <c r="E111" s="197">
        <v>0</v>
      </c>
      <c r="F111" s="197">
        <v>0</v>
      </c>
      <c r="G111" s="198">
        <f t="shared" si="12"/>
        <v>0</v>
      </c>
      <c r="H111" s="198">
        <f t="shared" si="13"/>
        <v>0</v>
      </c>
    </row>
    <row r="112" spans="2:8" hidden="1" outlineLevel="2" x14ac:dyDescent="0.25">
      <c r="B112" s="1" t="s">
        <v>191</v>
      </c>
      <c r="C112" s="191">
        <v>8210.4</v>
      </c>
      <c r="E112" s="197">
        <v>0</v>
      </c>
      <c r="F112" s="197">
        <v>0</v>
      </c>
      <c r="G112" s="198">
        <f t="shared" si="12"/>
        <v>0</v>
      </c>
      <c r="H112" s="198">
        <f t="shared" si="13"/>
        <v>0</v>
      </c>
    </row>
    <row r="113" spans="2:8" hidden="1" outlineLevel="2" x14ac:dyDescent="0.25">
      <c r="B113" s="1" t="s">
        <v>192</v>
      </c>
      <c r="C113" s="191">
        <v>5086.68</v>
      </c>
      <c r="E113" s="197">
        <v>0</v>
      </c>
      <c r="F113" s="197">
        <v>0</v>
      </c>
      <c r="G113" s="198">
        <f t="shared" si="12"/>
        <v>0</v>
      </c>
      <c r="H113" s="198">
        <f t="shared" si="13"/>
        <v>0</v>
      </c>
    </row>
    <row r="114" spans="2:8" hidden="1" outlineLevel="2" x14ac:dyDescent="0.25">
      <c r="B114" s="1" t="s">
        <v>193</v>
      </c>
      <c r="C114" s="191">
        <v>4289.05</v>
      </c>
      <c r="E114" s="197">
        <v>0</v>
      </c>
      <c r="F114" s="197">
        <v>0</v>
      </c>
      <c r="G114" s="198">
        <f t="shared" si="12"/>
        <v>0</v>
      </c>
      <c r="H114" s="198">
        <f t="shared" si="13"/>
        <v>0</v>
      </c>
    </row>
    <row r="115" spans="2:8" hidden="1" outlineLevel="2" x14ac:dyDescent="0.25">
      <c r="B115" s="1" t="s">
        <v>194</v>
      </c>
      <c r="C115" s="191">
        <v>18662.66</v>
      </c>
      <c r="E115" s="197">
        <v>0</v>
      </c>
      <c r="F115" s="197">
        <v>0</v>
      </c>
      <c r="G115" s="198">
        <f t="shared" si="12"/>
        <v>0</v>
      </c>
      <c r="H115" s="198">
        <f t="shared" si="13"/>
        <v>0</v>
      </c>
    </row>
    <row r="116" spans="2:8" hidden="1" outlineLevel="2" x14ac:dyDescent="0.25">
      <c r="B116" s="1" t="s">
        <v>131</v>
      </c>
      <c r="C116" s="191">
        <v>2094.73</v>
      </c>
      <c r="E116" s="197">
        <v>0</v>
      </c>
      <c r="F116" s="197">
        <v>0</v>
      </c>
      <c r="G116" s="198">
        <f t="shared" si="12"/>
        <v>0</v>
      </c>
      <c r="H116" s="198">
        <f t="shared" si="13"/>
        <v>0</v>
      </c>
    </row>
    <row r="117" spans="2:8" hidden="1" outlineLevel="1" collapsed="1" x14ac:dyDescent="0.25">
      <c r="B117" s="207" t="s">
        <v>195</v>
      </c>
      <c r="C117" s="208">
        <v>4217</v>
      </c>
      <c r="E117" s="209"/>
      <c r="F117" s="209"/>
      <c r="G117" s="210"/>
      <c r="H117" s="210"/>
    </row>
    <row r="118" spans="2:8" hidden="1" outlineLevel="2" x14ac:dyDescent="0.25">
      <c r="B118" s="1" t="s">
        <v>196</v>
      </c>
      <c r="C118" s="191">
        <v>1676</v>
      </c>
      <c r="E118" s="197">
        <v>0</v>
      </c>
      <c r="F118" s="197">
        <v>0</v>
      </c>
      <c r="G118" s="198">
        <f t="shared" ref="G118:G119" si="14">+E118*C118</f>
        <v>0</v>
      </c>
      <c r="H118" s="198">
        <f t="shared" ref="H118:H119" si="15">+F118*C118</f>
        <v>0</v>
      </c>
    </row>
    <row r="119" spans="2:8" hidden="1" outlineLevel="2" x14ac:dyDescent="0.25">
      <c r="B119" s="1" t="s">
        <v>197</v>
      </c>
      <c r="C119" s="191">
        <v>2541</v>
      </c>
      <c r="E119" s="197">
        <v>0</v>
      </c>
      <c r="F119" s="197">
        <v>0</v>
      </c>
      <c r="G119" s="198">
        <f t="shared" si="14"/>
        <v>0</v>
      </c>
      <c r="H119" s="198">
        <f t="shared" si="15"/>
        <v>0</v>
      </c>
    </row>
    <row r="120" spans="2:8" hidden="1" outlineLevel="1" collapsed="1" x14ac:dyDescent="0.25">
      <c r="B120" s="207" t="s">
        <v>198</v>
      </c>
      <c r="C120" s="208">
        <v>22126.14</v>
      </c>
      <c r="E120" s="209"/>
      <c r="F120" s="209"/>
      <c r="G120" s="210"/>
      <c r="H120" s="210"/>
    </row>
    <row r="121" spans="2:8" hidden="1" outlineLevel="2" x14ac:dyDescent="0.25">
      <c r="B121" s="1" t="s">
        <v>199</v>
      </c>
      <c r="C121" s="191">
        <v>4130.46</v>
      </c>
      <c r="E121" s="197">
        <v>0</v>
      </c>
      <c r="F121" s="197">
        <v>0</v>
      </c>
      <c r="G121" s="198">
        <f t="shared" ref="G121:G122" si="16">+E121*C121</f>
        <v>0</v>
      </c>
      <c r="H121" s="198">
        <f t="shared" ref="H121:H122" si="17">+F121*C121</f>
        <v>0</v>
      </c>
    </row>
    <row r="122" spans="2:8" hidden="1" outlineLevel="2" x14ac:dyDescent="0.25">
      <c r="B122" s="1" t="s">
        <v>200</v>
      </c>
      <c r="C122" s="191">
        <v>17995.68</v>
      </c>
      <c r="E122" s="197">
        <v>0</v>
      </c>
      <c r="F122" s="197">
        <v>0</v>
      </c>
      <c r="G122" s="198">
        <f t="shared" si="16"/>
        <v>0</v>
      </c>
      <c r="H122" s="198">
        <f t="shared" si="17"/>
        <v>0</v>
      </c>
    </row>
    <row r="123" spans="2:8" hidden="1" outlineLevel="1" collapsed="1" x14ac:dyDescent="0.25">
      <c r="B123" s="207" t="s">
        <v>201</v>
      </c>
      <c r="C123" s="208">
        <v>103730</v>
      </c>
      <c r="E123" s="209"/>
      <c r="F123" s="209"/>
      <c r="G123" s="210"/>
      <c r="H123" s="210"/>
    </row>
    <row r="124" spans="2:8" hidden="1" outlineLevel="2" x14ac:dyDescent="0.25">
      <c r="B124" s="1" t="s">
        <v>202</v>
      </c>
      <c r="C124" s="191">
        <v>2170.59</v>
      </c>
      <c r="E124" s="197">
        <v>0</v>
      </c>
      <c r="F124" s="197">
        <v>0</v>
      </c>
      <c r="G124" s="198">
        <f t="shared" ref="G124:G141" si="18">+E124*C124</f>
        <v>0</v>
      </c>
      <c r="H124" s="198">
        <f t="shared" ref="H124:H141" si="19">+F124*C124</f>
        <v>0</v>
      </c>
    </row>
    <row r="125" spans="2:8" hidden="1" outlineLevel="2" x14ac:dyDescent="0.25">
      <c r="B125" s="1" t="s">
        <v>203</v>
      </c>
      <c r="C125" s="191">
        <v>742.82</v>
      </c>
      <c r="E125" s="197">
        <v>0</v>
      </c>
      <c r="F125" s="197">
        <v>0</v>
      </c>
      <c r="G125" s="198">
        <f t="shared" si="18"/>
        <v>0</v>
      </c>
      <c r="H125" s="198">
        <f t="shared" si="19"/>
        <v>0</v>
      </c>
    </row>
    <row r="126" spans="2:8" hidden="1" outlineLevel="2" x14ac:dyDescent="0.25">
      <c r="B126" s="1" t="s">
        <v>204</v>
      </c>
      <c r="C126" s="191">
        <v>73.760000000000005</v>
      </c>
      <c r="E126" s="197">
        <v>0</v>
      </c>
      <c r="F126" s="197">
        <v>0</v>
      </c>
      <c r="G126" s="198">
        <f t="shared" si="18"/>
        <v>0</v>
      </c>
      <c r="H126" s="198">
        <f t="shared" si="19"/>
        <v>0</v>
      </c>
    </row>
    <row r="127" spans="2:8" hidden="1" outlineLevel="2" x14ac:dyDescent="0.25">
      <c r="B127" s="1" t="s">
        <v>205</v>
      </c>
      <c r="C127" s="191">
        <v>431.46</v>
      </c>
      <c r="E127" s="197">
        <v>0</v>
      </c>
      <c r="F127" s="197">
        <v>0</v>
      </c>
      <c r="G127" s="198">
        <f t="shared" si="18"/>
        <v>0</v>
      </c>
      <c r="H127" s="198">
        <f t="shared" si="19"/>
        <v>0</v>
      </c>
    </row>
    <row r="128" spans="2:8" hidden="1" outlineLevel="2" x14ac:dyDescent="0.25">
      <c r="B128" s="1" t="s">
        <v>206</v>
      </c>
      <c r="C128" s="191">
        <v>2375.46</v>
      </c>
      <c r="E128" s="197">
        <v>0</v>
      </c>
      <c r="F128" s="197">
        <v>0</v>
      </c>
      <c r="G128" s="198">
        <f t="shared" si="18"/>
        <v>0</v>
      </c>
      <c r="H128" s="198">
        <f t="shared" si="19"/>
        <v>0</v>
      </c>
    </row>
    <row r="129" spans="2:8" hidden="1" outlineLevel="2" x14ac:dyDescent="0.25">
      <c r="B129" s="1" t="s">
        <v>121</v>
      </c>
      <c r="C129" s="191">
        <v>444.83</v>
      </c>
      <c r="E129" s="197">
        <v>0</v>
      </c>
      <c r="F129" s="197">
        <v>0</v>
      </c>
      <c r="G129" s="198">
        <f t="shared" si="18"/>
        <v>0</v>
      </c>
      <c r="H129" s="198">
        <f t="shared" si="19"/>
        <v>0</v>
      </c>
    </row>
    <row r="130" spans="2:8" hidden="1" outlineLevel="2" x14ac:dyDescent="0.25">
      <c r="B130" s="1" t="s">
        <v>207</v>
      </c>
      <c r="C130" s="191">
        <v>3122.01</v>
      </c>
      <c r="E130" s="197">
        <v>0</v>
      </c>
      <c r="F130" s="197">
        <v>0</v>
      </c>
      <c r="G130" s="198">
        <f t="shared" si="18"/>
        <v>0</v>
      </c>
      <c r="H130" s="198">
        <f t="shared" si="19"/>
        <v>0</v>
      </c>
    </row>
    <row r="131" spans="2:8" hidden="1" outlineLevel="2" x14ac:dyDescent="0.25">
      <c r="B131" s="1" t="s">
        <v>208</v>
      </c>
      <c r="C131" s="191">
        <v>210.33</v>
      </c>
      <c r="E131" s="197">
        <v>0</v>
      </c>
      <c r="F131" s="197">
        <v>0</v>
      </c>
      <c r="G131" s="198">
        <f t="shared" si="18"/>
        <v>0</v>
      </c>
      <c r="H131" s="198">
        <f t="shared" si="19"/>
        <v>0</v>
      </c>
    </row>
    <row r="132" spans="2:8" hidden="1" outlineLevel="2" x14ac:dyDescent="0.25">
      <c r="B132" s="1" t="s">
        <v>124</v>
      </c>
      <c r="C132" s="191">
        <v>1</v>
      </c>
      <c r="E132" s="197">
        <v>0</v>
      </c>
      <c r="F132" s="197">
        <v>0</v>
      </c>
      <c r="G132" s="198">
        <f t="shared" si="18"/>
        <v>0</v>
      </c>
      <c r="H132" s="198">
        <f t="shared" si="19"/>
        <v>0</v>
      </c>
    </row>
    <row r="133" spans="2:8" hidden="1" outlineLevel="2" x14ac:dyDescent="0.25">
      <c r="B133" s="1" t="s">
        <v>209</v>
      </c>
      <c r="C133" s="191">
        <v>5038.08</v>
      </c>
      <c r="E133" s="197">
        <v>0</v>
      </c>
      <c r="F133" s="197">
        <v>0</v>
      </c>
      <c r="G133" s="198">
        <f t="shared" si="18"/>
        <v>0</v>
      </c>
      <c r="H133" s="198">
        <f t="shared" si="19"/>
        <v>0</v>
      </c>
    </row>
    <row r="134" spans="2:8" hidden="1" outlineLevel="2" x14ac:dyDescent="0.25">
      <c r="B134" s="1" t="s">
        <v>210</v>
      </c>
      <c r="C134" s="191">
        <v>17945.02</v>
      </c>
      <c r="E134" s="197">
        <v>0</v>
      </c>
      <c r="F134" s="197">
        <v>0</v>
      </c>
      <c r="G134" s="198">
        <f t="shared" si="18"/>
        <v>0</v>
      </c>
      <c r="H134" s="198">
        <f t="shared" si="19"/>
        <v>0</v>
      </c>
    </row>
    <row r="135" spans="2:8" hidden="1" outlineLevel="2" x14ac:dyDescent="0.25">
      <c r="B135" s="1" t="s">
        <v>131</v>
      </c>
      <c r="C135" s="191">
        <v>1029.23</v>
      </c>
      <c r="E135" s="197">
        <v>0</v>
      </c>
      <c r="F135" s="197">
        <v>0</v>
      </c>
      <c r="G135" s="198">
        <f t="shared" si="18"/>
        <v>0</v>
      </c>
      <c r="H135" s="198">
        <f t="shared" si="19"/>
        <v>0</v>
      </c>
    </row>
    <row r="136" spans="2:8" hidden="1" outlineLevel="2" x14ac:dyDescent="0.25">
      <c r="B136" s="1" t="s">
        <v>211</v>
      </c>
      <c r="C136" s="191">
        <v>33719.4</v>
      </c>
      <c r="E136" s="197">
        <v>0</v>
      </c>
      <c r="F136" s="197">
        <v>0</v>
      </c>
      <c r="G136" s="198">
        <f t="shared" si="18"/>
        <v>0</v>
      </c>
      <c r="H136" s="198">
        <f t="shared" si="19"/>
        <v>0</v>
      </c>
    </row>
    <row r="137" spans="2:8" hidden="1" outlineLevel="2" x14ac:dyDescent="0.25">
      <c r="B137" s="1" t="s">
        <v>212</v>
      </c>
      <c r="C137" s="191">
        <v>6661.78</v>
      </c>
      <c r="E137" s="197">
        <v>0</v>
      </c>
      <c r="F137" s="197">
        <v>0</v>
      </c>
      <c r="G137" s="198">
        <f t="shared" si="18"/>
        <v>0</v>
      </c>
      <c r="H137" s="198">
        <f t="shared" si="19"/>
        <v>0</v>
      </c>
    </row>
    <row r="138" spans="2:8" hidden="1" outlineLevel="2" x14ac:dyDescent="0.25">
      <c r="B138" s="1" t="s">
        <v>131</v>
      </c>
      <c r="C138" s="191">
        <v>341.35</v>
      </c>
      <c r="E138" s="197">
        <v>0</v>
      </c>
      <c r="F138" s="197">
        <v>0</v>
      </c>
      <c r="G138" s="198">
        <f t="shared" si="18"/>
        <v>0</v>
      </c>
      <c r="H138" s="198">
        <f t="shared" si="19"/>
        <v>0</v>
      </c>
    </row>
    <row r="139" spans="2:8" hidden="1" outlineLevel="2" x14ac:dyDescent="0.25">
      <c r="B139" s="1" t="s">
        <v>213</v>
      </c>
      <c r="C139" s="191">
        <v>732.54</v>
      </c>
      <c r="E139" s="197">
        <v>0</v>
      </c>
      <c r="F139" s="197">
        <v>0</v>
      </c>
      <c r="G139" s="198">
        <f t="shared" si="18"/>
        <v>0</v>
      </c>
      <c r="H139" s="198">
        <f t="shared" si="19"/>
        <v>0</v>
      </c>
    </row>
    <row r="140" spans="2:8" hidden="1" outlineLevel="2" x14ac:dyDescent="0.25">
      <c r="B140" s="1" t="s">
        <v>214</v>
      </c>
      <c r="C140" s="191">
        <v>0</v>
      </c>
      <c r="E140" s="197">
        <v>0</v>
      </c>
      <c r="F140" s="197">
        <v>0</v>
      </c>
      <c r="G140" s="198">
        <f t="shared" si="18"/>
        <v>0</v>
      </c>
      <c r="H140" s="198">
        <f t="shared" si="19"/>
        <v>0</v>
      </c>
    </row>
    <row r="141" spans="2:8" hidden="1" outlineLevel="2" x14ac:dyDescent="0.25">
      <c r="B141" s="1" t="s">
        <v>215</v>
      </c>
      <c r="C141" s="191">
        <v>28690.34</v>
      </c>
      <c r="E141" s="197">
        <v>0</v>
      </c>
      <c r="F141" s="197">
        <v>0</v>
      </c>
      <c r="G141" s="198">
        <f t="shared" si="18"/>
        <v>0</v>
      </c>
      <c r="H141" s="198">
        <f t="shared" si="19"/>
        <v>0</v>
      </c>
    </row>
    <row r="142" spans="2:8" hidden="1" outlineLevel="1" collapsed="1" x14ac:dyDescent="0.25">
      <c r="B142" s="207" t="s">
        <v>216</v>
      </c>
      <c r="C142" s="208">
        <v>132417.71</v>
      </c>
      <c r="E142" s="209"/>
      <c r="F142" s="209"/>
      <c r="G142" s="210"/>
      <c r="H142" s="210"/>
    </row>
    <row r="143" spans="2:8" hidden="1" outlineLevel="2" x14ac:dyDescent="0.25">
      <c r="B143" s="1" t="s">
        <v>217</v>
      </c>
      <c r="C143" s="191">
        <v>70780.960000000006</v>
      </c>
      <c r="E143" s="197">
        <v>0</v>
      </c>
      <c r="F143" s="197">
        <v>0</v>
      </c>
      <c r="G143" s="198">
        <f t="shared" ref="G143:G146" si="20">+E143*C143</f>
        <v>0</v>
      </c>
      <c r="H143" s="198">
        <f t="shared" ref="H143:H146" si="21">+F143*C143</f>
        <v>0</v>
      </c>
    </row>
    <row r="144" spans="2:8" hidden="1" outlineLevel="2" x14ac:dyDescent="0.25">
      <c r="B144" s="1" t="s">
        <v>218</v>
      </c>
      <c r="C144" s="191">
        <v>40492.239999999998</v>
      </c>
      <c r="E144" s="197">
        <v>0</v>
      </c>
      <c r="F144" s="197">
        <v>0</v>
      </c>
      <c r="G144" s="198">
        <f t="shared" si="20"/>
        <v>0</v>
      </c>
      <c r="H144" s="198">
        <f t="shared" si="21"/>
        <v>0</v>
      </c>
    </row>
    <row r="145" spans="2:8" hidden="1" outlineLevel="2" x14ac:dyDescent="0.25">
      <c r="B145" s="1" t="s">
        <v>219</v>
      </c>
      <c r="C145" s="191">
        <v>19337.86</v>
      </c>
      <c r="E145" s="197">
        <v>0</v>
      </c>
      <c r="F145" s="197">
        <v>0</v>
      </c>
      <c r="G145" s="198">
        <f t="shared" si="20"/>
        <v>0</v>
      </c>
      <c r="H145" s="198">
        <f t="shared" si="21"/>
        <v>0</v>
      </c>
    </row>
    <row r="146" spans="2:8" hidden="1" outlineLevel="2" x14ac:dyDescent="0.25">
      <c r="B146" s="1" t="s">
        <v>220</v>
      </c>
      <c r="C146" s="191">
        <v>1806.65</v>
      </c>
      <c r="E146" s="197">
        <v>0</v>
      </c>
      <c r="F146" s="197">
        <v>0</v>
      </c>
      <c r="G146" s="198">
        <f t="shared" si="20"/>
        <v>0</v>
      </c>
      <c r="H146" s="198">
        <f t="shared" si="21"/>
        <v>0</v>
      </c>
    </row>
    <row r="147" spans="2:8" hidden="1" outlineLevel="1" collapsed="1" x14ac:dyDescent="0.25">
      <c r="B147" s="207" t="s">
        <v>221</v>
      </c>
      <c r="C147" s="208">
        <v>186135.04000000001</v>
      </c>
      <c r="E147" s="209"/>
      <c r="F147" s="209"/>
      <c r="G147" s="210"/>
      <c r="H147" s="210"/>
    </row>
    <row r="148" spans="2:8" hidden="1" outlineLevel="2" x14ac:dyDescent="0.25">
      <c r="B148" s="1" t="s">
        <v>222</v>
      </c>
      <c r="C148" s="191">
        <v>89347.38</v>
      </c>
      <c r="E148" s="197">
        <v>0</v>
      </c>
      <c r="F148" s="197">
        <v>0</v>
      </c>
      <c r="G148" s="198">
        <f t="shared" ref="G148:G153" si="22">+E148*C148</f>
        <v>0</v>
      </c>
      <c r="H148" s="198">
        <f t="shared" ref="H148:H153" si="23">+F148*C148</f>
        <v>0</v>
      </c>
    </row>
    <row r="149" spans="2:8" hidden="1" outlineLevel="2" x14ac:dyDescent="0.25">
      <c r="B149" s="1" t="s">
        <v>223</v>
      </c>
      <c r="C149" s="191">
        <v>33243.03</v>
      </c>
      <c r="E149" s="197">
        <v>0</v>
      </c>
      <c r="F149" s="197">
        <v>0</v>
      </c>
      <c r="G149" s="198">
        <f t="shared" si="22"/>
        <v>0</v>
      </c>
      <c r="H149" s="198">
        <f t="shared" si="23"/>
        <v>0</v>
      </c>
    </row>
    <row r="150" spans="2:8" hidden="1" outlineLevel="2" x14ac:dyDescent="0.25">
      <c r="B150" s="1" t="s">
        <v>224</v>
      </c>
      <c r="C150" s="191">
        <v>4696.1499999999996</v>
      </c>
      <c r="E150" s="197">
        <v>0</v>
      </c>
      <c r="F150" s="197">
        <v>0</v>
      </c>
      <c r="G150" s="198">
        <f t="shared" si="22"/>
        <v>0</v>
      </c>
      <c r="H150" s="198">
        <f t="shared" si="23"/>
        <v>0</v>
      </c>
    </row>
    <row r="151" spans="2:8" hidden="1" outlineLevel="2" x14ac:dyDescent="0.25">
      <c r="B151" s="1" t="s">
        <v>225</v>
      </c>
      <c r="C151" s="191">
        <v>36494.33</v>
      </c>
      <c r="E151" s="197">
        <v>0</v>
      </c>
      <c r="F151" s="197">
        <v>0</v>
      </c>
      <c r="G151" s="198">
        <f t="shared" si="22"/>
        <v>0</v>
      </c>
      <c r="H151" s="198">
        <f t="shared" si="23"/>
        <v>0</v>
      </c>
    </row>
    <row r="152" spans="2:8" hidden="1" outlineLevel="2" x14ac:dyDescent="0.25">
      <c r="B152" s="1" t="s">
        <v>226</v>
      </c>
      <c r="C152" s="191">
        <v>12771.02</v>
      </c>
      <c r="E152" s="197">
        <v>0</v>
      </c>
      <c r="F152" s="197">
        <v>0</v>
      </c>
      <c r="G152" s="198">
        <f t="shared" si="22"/>
        <v>0</v>
      </c>
      <c r="H152" s="198">
        <f t="shared" si="23"/>
        <v>0</v>
      </c>
    </row>
    <row r="153" spans="2:8" hidden="1" outlineLevel="2" x14ac:dyDescent="0.25">
      <c r="B153" s="1" t="s">
        <v>227</v>
      </c>
      <c r="C153" s="191">
        <v>9583.1299999999992</v>
      </c>
      <c r="E153" s="197">
        <v>0</v>
      </c>
      <c r="F153" s="197">
        <v>0</v>
      </c>
      <c r="G153" s="198">
        <f t="shared" si="22"/>
        <v>0</v>
      </c>
      <c r="H153" s="198">
        <f t="shared" si="23"/>
        <v>0</v>
      </c>
    </row>
    <row r="154" spans="2:8" hidden="1" outlineLevel="1" collapsed="1" x14ac:dyDescent="0.25">
      <c r="B154" s="207" t="s">
        <v>228</v>
      </c>
      <c r="C154" s="208">
        <v>83682.61</v>
      </c>
      <c r="E154" s="209"/>
      <c r="F154" s="209"/>
      <c r="G154" s="210"/>
      <c r="H154" s="210"/>
    </row>
    <row r="155" spans="2:8" hidden="1" outlineLevel="2" x14ac:dyDescent="0.25">
      <c r="B155" s="1" t="s">
        <v>229</v>
      </c>
      <c r="C155" s="191">
        <v>36988.629999999997</v>
      </c>
      <c r="E155" s="197">
        <v>0</v>
      </c>
      <c r="F155" s="197">
        <v>0</v>
      </c>
      <c r="G155" s="198">
        <f t="shared" ref="G155:G168" si="24">+E155*C155</f>
        <v>0</v>
      </c>
      <c r="H155" s="198">
        <f t="shared" ref="H155:H168" si="25">+F155*C155</f>
        <v>0</v>
      </c>
    </row>
    <row r="156" spans="2:8" hidden="1" outlineLevel="2" x14ac:dyDescent="0.25">
      <c r="B156" s="1" t="s">
        <v>230</v>
      </c>
      <c r="C156" s="191">
        <v>28103.47</v>
      </c>
      <c r="E156" s="197">
        <v>0</v>
      </c>
      <c r="F156" s="197">
        <v>0</v>
      </c>
      <c r="G156" s="198">
        <f t="shared" si="24"/>
        <v>0</v>
      </c>
      <c r="H156" s="198">
        <f t="shared" si="25"/>
        <v>0</v>
      </c>
    </row>
    <row r="157" spans="2:8" hidden="1" outlineLevel="2" x14ac:dyDescent="0.25">
      <c r="B157" s="1" t="s">
        <v>231</v>
      </c>
      <c r="C157" s="191">
        <v>8885.16</v>
      </c>
      <c r="E157" s="197">
        <v>0</v>
      </c>
      <c r="F157" s="197">
        <v>0</v>
      </c>
      <c r="G157" s="198">
        <f t="shared" si="24"/>
        <v>0</v>
      </c>
      <c r="H157" s="198">
        <f t="shared" si="25"/>
        <v>0</v>
      </c>
    </row>
    <row r="158" spans="2:8" hidden="1" outlineLevel="2" x14ac:dyDescent="0.25">
      <c r="B158" s="1" t="s">
        <v>232</v>
      </c>
      <c r="C158" s="191">
        <v>35371.5</v>
      </c>
      <c r="E158" s="197">
        <v>0</v>
      </c>
      <c r="F158" s="197">
        <v>0</v>
      </c>
      <c r="G158" s="198">
        <f t="shared" si="24"/>
        <v>0</v>
      </c>
      <c r="H158" s="198">
        <f t="shared" si="25"/>
        <v>0</v>
      </c>
    </row>
    <row r="159" spans="2:8" hidden="1" outlineLevel="2" x14ac:dyDescent="0.25">
      <c r="B159" s="1" t="s">
        <v>230</v>
      </c>
      <c r="C159" s="191">
        <v>7843.75</v>
      </c>
      <c r="E159" s="197">
        <v>0</v>
      </c>
      <c r="F159" s="197">
        <v>0</v>
      </c>
      <c r="G159" s="198">
        <f t="shared" si="24"/>
        <v>0</v>
      </c>
      <c r="H159" s="198">
        <f t="shared" si="25"/>
        <v>0</v>
      </c>
    </row>
    <row r="160" spans="2:8" hidden="1" outlineLevel="2" x14ac:dyDescent="0.25">
      <c r="B160" s="1" t="s">
        <v>231</v>
      </c>
      <c r="C160" s="191">
        <v>5000.1499999999996</v>
      </c>
      <c r="E160" s="197">
        <v>0</v>
      </c>
      <c r="F160" s="197">
        <v>0</v>
      </c>
      <c r="G160" s="198">
        <f t="shared" si="24"/>
        <v>0</v>
      </c>
      <c r="H160" s="198">
        <f t="shared" si="25"/>
        <v>0</v>
      </c>
    </row>
    <row r="161" spans="2:8" hidden="1" outlineLevel="2" x14ac:dyDescent="0.25">
      <c r="B161" s="1" t="s">
        <v>233</v>
      </c>
      <c r="C161" s="191">
        <v>2806.17</v>
      </c>
      <c r="E161" s="197">
        <v>0</v>
      </c>
      <c r="F161" s="197">
        <v>0</v>
      </c>
      <c r="G161" s="198">
        <f t="shared" si="24"/>
        <v>0</v>
      </c>
      <c r="H161" s="198">
        <f t="shared" si="25"/>
        <v>0</v>
      </c>
    </row>
    <row r="162" spans="2:8" hidden="1" outlineLevel="2" x14ac:dyDescent="0.25">
      <c r="B162" s="1" t="s">
        <v>234</v>
      </c>
      <c r="C162" s="191">
        <v>871.42</v>
      </c>
      <c r="E162" s="197">
        <v>0</v>
      </c>
      <c r="F162" s="197">
        <v>0</v>
      </c>
      <c r="G162" s="198">
        <f t="shared" si="24"/>
        <v>0</v>
      </c>
      <c r="H162" s="198">
        <f t="shared" si="25"/>
        <v>0</v>
      </c>
    </row>
    <row r="163" spans="2:8" hidden="1" outlineLevel="2" x14ac:dyDescent="0.25">
      <c r="B163" s="1" t="s">
        <v>235</v>
      </c>
      <c r="C163" s="191">
        <v>13382.48</v>
      </c>
      <c r="E163" s="197">
        <v>0</v>
      </c>
      <c r="F163" s="197">
        <v>0</v>
      </c>
      <c r="G163" s="198">
        <f t="shared" si="24"/>
        <v>0</v>
      </c>
      <c r="H163" s="198">
        <f t="shared" si="25"/>
        <v>0</v>
      </c>
    </row>
    <row r="164" spans="2:8" hidden="1" outlineLevel="2" x14ac:dyDescent="0.25">
      <c r="B164" s="1" t="s">
        <v>236</v>
      </c>
      <c r="C164" s="191">
        <v>2419.6999999999998</v>
      </c>
      <c r="E164" s="197">
        <v>0</v>
      </c>
      <c r="F164" s="197">
        <v>0</v>
      </c>
      <c r="G164" s="198">
        <f t="shared" si="24"/>
        <v>0</v>
      </c>
      <c r="H164" s="198">
        <f t="shared" si="25"/>
        <v>0</v>
      </c>
    </row>
    <row r="165" spans="2:8" hidden="1" outlineLevel="2" x14ac:dyDescent="0.25">
      <c r="B165" s="1" t="s">
        <v>237</v>
      </c>
      <c r="C165" s="191">
        <v>3047.83</v>
      </c>
      <c r="E165" s="197">
        <v>0</v>
      </c>
      <c r="F165" s="197">
        <v>0</v>
      </c>
      <c r="G165" s="198">
        <f t="shared" si="24"/>
        <v>0</v>
      </c>
      <c r="H165" s="198">
        <f t="shared" si="25"/>
        <v>0</v>
      </c>
    </row>
    <row r="166" spans="2:8" hidden="1" outlineLevel="2" x14ac:dyDescent="0.25">
      <c r="B166" s="1" t="s">
        <v>63</v>
      </c>
      <c r="C166" s="191">
        <v>11322.48</v>
      </c>
      <c r="E166" s="197">
        <v>0</v>
      </c>
      <c r="F166" s="197">
        <v>0</v>
      </c>
      <c r="G166" s="198">
        <f t="shared" si="24"/>
        <v>0</v>
      </c>
      <c r="H166" s="198">
        <f t="shared" si="25"/>
        <v>0</v>
      </c>
    </row>
    <row r="167" spans="2:8" hidden="1" outlineLevel="2" x14ac:dyDescent="0.25">
      <c r="B167" s="1" t="s">
        <v>230</v>
      </c>
      <c r="C167" s="191">
        <v>7411.85</v>
      </c>
      <c r="E167" s="197">
        <v>0</v>
      </c>
      <c r="F167" s="197">
        <v>0</v>
      </c>
      <c r="G167" s="198">
        <f t="shared" si="24"/>
        <v>0</v>
      </c>
      <c r="H167" s="198">
        <f t="shared" si="25"/>
        <v>0</v>
      </c>
    </row>
    <row r="168" spans="2:8" hidden="1" outlineLevel="2" x14ac:dyDescent="0.25">
      <c r="B168" s="1" t="s">
        <v>231</v>
      </c>
      <c r="C168" s="191">
        <v>3910.63</v>
      </c>
      <c r="E168" s="197">
        <v>0</v>
      </c>
      <c r="F168" s="197">
        <v>0</v>
      </c>
      <c r="G168" s="198">
        <f t="shared" si="24"/>
        <v>0</v>
      </c>
      <c r="H168" s="198">
        <f t="shared" si="25"/>
        <v>0</v>
      </c>
    </row>
    <row r="169" spans="2:8" hidden="1" outlineLevel="1" collapsed="1" x14ac:dyDescent="0.25">
      <c r="B169" s="207" t="s">
        <v>238</v>
      </c>
      <c r="C169" s="208">
        <v>601.23</v>
      </c>
      <c r="E169" s="209"/>
      <c r="F169" s="209"/>
      <c r="G169" s="210"/>
      <c r="H169" s="210"/>
    </row>
    <row r="170" spans="2:8" hidden="1" outlineLevel="2" x14ac:dyDescent="0.25">
      <c r="B170" s="1" t="s">
        <v>239</v>
      </c>
      <c r="C170" s="191">
        <v>601.23</v>
      </c>
      <c r="E170" s="197">
        <v>0</v>
      </c>
      <c r="F170" s="197">
        <v>0</v>
      </c>
      <c r="G170" s="198">
        <f t="shared" ref="G170" si="26">+E170*C170</f>
        <v>0</v>
      </c>
      <c r="H170" s="198">
        <f t="shared" ref="H170" si="27">+F170*C170</f>
        <v>0</v>
      </c>
    </row>
    <row r="171" spans="2:8" hidden="1" outlineLevel="1" collapsed="1" x14ac:dyDescent="0.25">
      <c r="B171" s="207" t="s">
        <v>240</v>
      </c>
      <c r="C171" s="208">
        <v>6748</v>
      </c>
      <c r="E171" s="209"/>
      <c r="F171" s="209"/>
      <c r="G171" s="210"/>
      <c r="H171" s="210"/>
    </row>
    <row r="172" spans="2:8" hidden="1" outlineLevel="2" x14ac:dyDescent="0.25">
      <c r="B172" s="1" t="s">
        <v>241</v>
      </c>
      <c r="C172" s="191">
        <v>4908</v>
      </c>
      <c r="E172" s="197">
        <v>0</v>
      </c>
      <c r="F172" s="197">
        <v>0</v>
      </c>
      <c r="G172" s="198">
        <f t="shared" ref="G172:G173" si="28">+E172*C172</f>
        <v>0</v>
      </c>
      <c r="H172" s="198">
        <f t="shared" ref="H172:H173" si="29">+F172*C172</f>
        <v>0</v>
      </c>
    </row>
    <row r="173" spans="2:8" hidden="1" outlineLevel="2" x14ac:dyDescent="0.25">
      <c r="B173" s="1" t="s">
        <v>242</v>
      </c>
      <c r="C173" s="191">
        <v>1840</v>
      </c>
      <c r="E173" s="197">
        <v>0</v>
      </c>
      <c r="F173" s="197">
        <v>0</v>
      </c>
      <c r="G173" s="198">
        <f t="shared" si="28"/>
        <v>0</v>
      </c>
      <c r="H173" s="198">
        <f t="shared" si="29"/>
        <v>0</v>
      </c>
    </row>
    <row r="174" spans="2:8" hidden="1" outlineLevel="1" collapsed="1" x14ac:dyDescent="0.25">
      <c r="B174" s="207" t="s">
        <v>243</v>
      </c>
      <c r="C174" s="208">
        <v>84000.59</v>
      </c>
      <c r="E174" s="209"/>
      <c r="F174" s="209"/>
      <c r="G174" s="210"/>
      <c r="H174" s="210"/>
    </row>
    <row r="175" spans="2:8" hidden="1" outlineLevel="2" x14ac:dyDescent="0.25">
      <c r="B175" s="1" t="s">
        <v>244</v>
      </c>
      <c r="C175" s="191">
        <v>22907.69</v>
      </c>
      <c r="E175" s="197">
        <v>0</v>
      </c>
      <c r="F175" s="197">
        <v>0</v>
      </c>
      <c r="G175" s="198">
        <f t="shared" ref="G175:G180" si="30">+E175*C175</f>
        <v>0</v>
      </c>
      <c r="H175" s="198">
        <f t="shared" ref="H175:H180" si="31">+F175*C175</f>
        <v>0</v>
      </c>
    </row>
    <row r="176" spans="2:8" hidden="1" outlineLevel="2" x14ac:dyDescent="0.25">
      <c r="B176" s="1" t="s">
        <v>245</v>
      </c>
      <c r="C176" s="191">
        <v>13744.6</v>
      </c>
      <c r="E176" s="197">
        <v>0</v>
      </c>
      <c r="F176" s="197">
        <v>0</v>
      </c>
      <c r="G176" s="198">
        <f t="shared" si="30"/>
        <v>0</v>
      </c>
      <c r="H176" s="198">
        <f t="shared" si="31"/>
        <v>0</v>
      </c>
    </row>
    <row r="177" spans="2:8" hidden="1" outlineLevel="2" x14ac:dyDescent="0.25">
      <c r="B177" s="1" t="s">
        <v>246</v>
      </c>
      <c r="C177" s="191">
        <v>5059.93</v>
      </c>
      <c r="E177" s="197">
        <v>0</v>
      </c>
      <c r="F177" s="197">
        <v>0</v>
      </c>
      <c r="G177" s="198">
        <f t="shared" si="30"/>
        <v>0</v>
      </c>
      <c r="H177" s="198">
        <f t="shared" si="31"/>
        <v>0</v>
      </c>
    </row>
    <row r="178" spans="2:8" hidden="1" outlineLevel="2" x14ac:dyDescent="0.25">
      <c r="B178" s="1" t="s">
        <v>247</v>
      </c>
      <c r="C178" s="191">
        <v>16035.38</v>
      </c>
      <c r="E178" s="197">
        <v>0</v>
      </c>
      <c r="F178" s="197">
        <v>0</v>
      </c>
      <c r="G178" s="198">
        <f t="shared" si="30"/>
        <v>0</v>
      </c>
      <c r="H178" s="198">
        <f t="shared" si="31"/>
        <v>0</v>
      </c>
    </row>
    <row r="179" spans="2:8" hidden="1" outlineLevel="2" x14ac:dyDescent="0.25">
      <c r="B179" s="1" t="s">
        <v>248</v>
      </c>
      <c r="C179" s="191">
        <v>20239.72</v>
      </c>
      <c r="E179" s="197">
        <v>0</v>
      </c>
      <c r="F179" s="197">
        <v>0</v>
      </c>
      <c r="G179" s="198">
        <f t="shared" si="30"/>
        <v>0</v>
      </c>
      <c r="H179" s="198">
        <f t="shared" si="31"/>
        <v>0</v>
      </c>
    </row>
    <row r="180" spans="2:8" hidden="1" outlineLevel="2" x14ac:dyDescent="0.25">
      <c r="B180" s="1" t="s">
        <v>249</v>
      </c>
      <c r="C180" s="191">
        <v>6013.27</v>
      </c>
      <c r="E180" s="197">
        <v>0</v>
      </c>
      <c r="F180" s="197">
        <v>0</v>
      </c>
      <c r="G180" s="198">
        <f t="shared" si="30"/>
        <v>0</v>
      </c>
      <c r="H180" s="198">
        <f t="shared" si="31"/>
        <v>0</v>
      </c>
    </row>
    <row r="181" spans="2:8" hidden="1" outlineLevel="1" collapsed="1" x14ac:dyDescent="0.25">
      <c r="B181" s="207" t="s">
        <v>250</v>
      </c>
      <c r="C181" s="208">
        <v>69227.91</v>
      </c>
      <c r="E181" s="209"/>
      <c r="F181" s="209"/>
      <c r="G181" s="210"/>
      <c r="H181" s="210"/>
    </row>
    <row r="182" spans="2:8" hidden="1" outlineLevel="2" x14ac:dyDescent="0.25">
      <c r="B182" s="1" t="s">
        <v>251</v>
      </c>
      <c r="C182" s="191">
        <v>15352.29</v>
      </c>
      <c r="E182" s="197">
        <v>0</v>
      </c>
      <c r="F182" s="197">
        <v>0</v>
      </c>
      <c r="G182" s="198">
        <f t="shared" ref="G182:G185" si="32">+E182*C182</f>
        <v>0</v>
      </c>
      <c r="H182" s="198">
        <f t="shared" ref="H182:H185" si="33">+F182*C182</f>
        <v>0</v>
      </c>
    </row>
    <row r="183" spans="2:8" hidden="1" outlineLevel="2" x14ac:dyDescent="0.25">
      <c r="B183" s="1" t="s">
        <v>252</v>
      </c>
      <c r="C183" s="191">
        <v>24149.67</v>
      </c>
      <c r="E183" s="197">
        <v>0</v>
      </c>
      <c r="F183" s="197">
        <v>0</v>
      </c>
      <c r="G183" s="198">
        <f t="shared" si="32"/>
        <v>0</v>
      </c>
      <c r="H183" s="198">
        <f t="shared" si="33"/>
        <v>0</v>
      </c>
    </row>
    <row r="184" spans="2:8" hidden="1" outlineLevel="2" x14ac:dyDescent="0.25">
      <c r="B184" s="1" t="s">
        <v>253</v>
      </c>
      <c r="C184" s="191">
        <v>24149.67</v>
      </c>
      <c r="E184" s="197">
        <v>0</v>
      </c>
      <c r="F184" s="197">
        <v>0</v>
      </c>
      <c r="G184" s="198">
        <f t="shared" si="32"/>
        <v>0</v>
      </c>
      <c r="H184" s="198">
        <f t="shared" si="33"/>
        <v>0</v>
      </c>
    </row>
    <row r="185" spans="2:8" hidden="1" outlineLevel="2" x14ac:dyDescent="0.25">
      <c r="B185" s="1" t="s">
        <v>254</v>
      </c>
      <c r="C185" s="191">
        <v>5576.28</v>
      </c>
      <c r="E185" s="197">
        <v>0</v>
      </c>
      <c r="F185" s="197">
        <v>0</v>
      </c>
      <c r="G185" s="198">
        <f t="shared" si="32"/>
        <v>0</v>
      </c>
      <c r="H185" s="198">
        <f t="shared" si="33"/>
        <v>0</v>
      </c>
    </row>
    <row r="186" spans="2:8" hidden="1" outlineLevel="1" collapsed="1" x14ac:dyDescent="0.25">
      <c r="B186" s="207" t="s">
        <v>255</v>
      </c>
      <c r="C186" s="208">
        <v>84201.54</v>
      </c>
      <c r="E186" s="209"/>
      <c r="F186" s="209"/>
      <c r="G186" s="210"/>
      <c r="H186" s="210"/>
    </row>
    <row r="187" spans="2:8" hidden="1" outlineLevel="2" x14ac:dyDescent="0.25">
      <c r="B187" s="1" t="s">
        <v>256</v>
      </c>
      <c r="C187" s="191">
        <v>12127.73</v>
      </c>
      <c r="E187" s="197">
        <v>0</v>
      </c>
      <c r="F187" s="197">
        <v>0</v>
      </c>
      <c r="G187" s="198">
        <f t="shared" ref="G187:G203" si="34">+E187*C187</f>
        <v>0</v>
      </c>
      <c r="H187" s="198">
        <f t="shared" ref="H187:H203" si="35">+F187*C187</f>
        <v>0</v>
      </c>
    </row>
    <row r="188" spans="2:8" hidden="1" outlineLevel="2" x14ac:dyDescent="0.25">
      <c r="B188" s="1" t="s">
        <v>257</v>
      </c>
      <c r="C188" s="191">
        <v>2414.94</v>
      </c>
      <c r="E188" s="197">
        <v>0</v>
      </c>
      <c r="F188" s="197">
        <v>0</v>
      </c>
      <c r="G188" s="198">
        <f t="shared" si="34"/>
        <v>0</v>
      </c>
      <c r="H188" s="198">
        <f t="shared" si="35"/>
        <v>0</v>
      </c>
    </row>
    <row r="189" spans="2:8" hidden="1" outlineLevel="2" x14ac:dyDescent="0.25">
      <c r="B189" s="1" t="s">
        <v>258</v>
      </c>
      <c r="C189" s="191">
        <v>747.48</v>
      </c>
      <c r="E189" s="197">
        <v>0</v>
      </c>
      <c r="F189" s="197">
        <v>0</v>
      </c>
      <c r="G189" s="198">
        <f t="shared" si="34"/>
        <v>0</v>
      </c>
      <c r="H189" s="198">
        <f t="shared" si="35"/>
        <v>0</v>
      </c>
    </row>
    <row r="190" spans="2:8" hidden="1" outlineLevel="2" x14ac:dyDescent="0.25">
      <c r="B190" s="1" t="s">
        <v>259</v>
      </c>
      <c r="C190" s="191">
        <v>5851.14</v>
      </c>
      <c r="E190" s="197">
        <v>0</v>
      </c>
      <c r="F190" s="197">
        <v>0</v>
      </c>
      <c r="G190" s="198">
        <f t="shared" si="34"/>
        <v>0</v>
      </c>
      <c r="H190" s="198">
        <f t="shared" si="35"/>
        <v>0</v>
      </c>
    </row>
    <row r="191" spans="2:8" hidden="1" outlineLevel="2" x14ac:dyDescent="0.25">
      <c r="B191" s="1" t="s">
        <v>260</v>
      </c>
      <c r="C191" s="191">
        <v>2824.4</v>
      </c>
      <c r="E191" s="197">
        <v>0</v>
      </c>
      <c r="F191" s="197">
        <v>0</v>
      </c>
      <c r="G191" s="198">
        <f t="shared" si="34"/>
        <v>0</v>
      </c>
      <c r="H191" s="198">
        <f t="shared" si="35"/>
        <v>0</v>
      </c>
    </row>
    <row r="192" spans="2:8" hidden="1" outlineLevel="2" x14ac:dyDescent="0.25">
      <c r="B192" s="1" t="s">
        <v>261</v>
      </c>
      <c r="C192" s="191">
        <v>1117.24</v>
      </c>
      <c r="E192" s="197">
        <v>0</v>
      </c>
      <c r="F192" s="197">
        <v>0</v>
      </c>
      <c r="G192" s="198">
        <f t="shared" si="34"/>
        <v>0</v>
      </c>
      <c r="H192" s="198">
        <f t="shared" si="35"/>
        <v>0</v>
      </c>
    </row>
    <row r="193" spans="2:8" hidden="1" outlineLevel="2" x14ac:dyDescent="0.25">
      <c r="B193" s="1" t="s">
        <v>262</v>
      </c>
      <c r="C193" s="191">
        <v>2711.1</v>
      </c>
      <c r="E193" s="197">
        <v>0</v>
      </c>
      <c r="F193" s="197">
        <v>0</v>
      </c>
      <c r="G193" s="198">
        <f t="shared" si="34"/>
        <v>0</v>
      </c>
      <c r="H193" s="198">
        <f t="shared" si="35"/>
        <v>0</v>
      </c>
    </row>
    <row r="194" spans="2:8" hidden="1" outlineLevel="2" x14ac:dyDescent="0.25">
      <c r="B194" s="1" t="s">
        <v>263</v>
      </c>
      <c r="C194" s="191">
        <v>4337.76</v>
      </c>
      <c r="E194" s="197">
        <v>0</v>
      </c>
      <c r="F194" s="197">
        <v>0</v>
      </c>
      <c r="G194" s="198">
        <f t="shared" si="34"/>
        <v>0</v>
      </c>
      <c r="H194" s="198">
        <f t="shared" si="35"/>
        <v>0</v>
      </c>
    </row>
    <row r="195" spans="2:8" hidden="1" outlineLevel="2" x14ac:dyDescent="0.25">
      <c r="B195" s="1" t="s">
        <v>264</v>
      </c>
      <c r="C195" s="191">
        <v>10302.18</v>
      </c>
      <c r="E195" s="197">
        <v>0</v>
      </c>
      <c r="F195" s="197">
        <v>0</v>
      </c>
      <c r="G195" s="198">
        <f t="shared" si="34"/>
        <v>0</v>
      </c>
      <c r="H195" s="198">
        <f t="shared" si="35"/>
        <v>0</v>
      </c>
    </row>
    <row r="196" spans="2:8" hidden="1" outlineLevel="2" x14ac:dyDescent="0.25">
      <c r="B196" s="1" t="s">
        <v>265</v>
      </c>
      <c r="C196" s="191">
        <v>5027.58</v>
      </c>
      <c r="E196" s="197">
        <v>0</v>
      </c>
      <c r="F196" s="197">
        <v>0</v>
      </c>
      <c r="G196" s="198">
        <f t="shared" si="34"/>
        <v>0</v>
      </c>
      <c r="H196" s="198">
        <f t="shared" si="35"/>
        <v>0</v>
      </c>
    </row>
    <row r="197" spans="2:8" hidden="1" outlineLevel="2" x14ac:dyDescent="0.25">
      <c r="B197" s="1" t="s">
        <v>266</v>
      </c>
      <c r="C197" s="191">
        <v>3863.94</v>
      </c>
      <c r="E197" s="197">
        <v>0</v>
      </c>
      <c r="F197" s="197">
        <v>0</v>
      </c>
      <c r="G197" s="198">
        <f t="shared" si="34"/>
        <v>0</v>
      </c>
      <c r="H197" s="198">
        <f t="shared" si="35"/>
        <v>0</v>
      </c>
    </row>
    <row r="198" spans="2:8" hidden="1" outlineLevel="2" x14ac:dyDescent="0.25">
      <c r="B198" s="1" t="s">
        <v>267</v>
      </c>
      <c r="C198" s="191">
        <v>11569.29</v>
      </c>
      <c r="E198" s="197">
        <v>0</v>
      </c>
      <c r="F198" s="197">
        <v>0</v>
      </c>
      <c r="G198" s="198">
        <f t="shared" si="34"/>
        <v>0</v>
      </c>
      <c r="H198" s="198">
        <f t="shared" si="35"/>
        <v>0</v>
      </c>
    </row>
    <row r="199" spans="2:8" hidden="1" outlineLevel="2" x14ac:dyDescent="0.25">
      <c r="B199" s="1" t="s">
        <v>268</v>
      </c>
      <c r="C199" s="191">
        <v>3653.46</v>
      </c>
      <c r="E199" s="197">
        <v>0</v>
      </c>
      <c r="F199" s="197">
        <v>0</v>
      </c>
      <c r="G199" s="198">
        <f t="shared" si="34"/>
        <v>0</v>
      </c>
      <c r="H199" s="198">
        <f t="shared" si="35"/>
        <v>0</v>
      </c>
    </row>
    <row r="200" spans="2:8" hidden="1" outlineLevel="2" x14ac:dyDescent="0.25">
      <c r="B200" s="1" t="s">
        <v>269</v>
      </c>
      <c r="C200" s="191">
        <v>1255.8</v>
      </c>
      <c r="E200" s="197">
        <v>0</v>
      </c>
      <c r="F200" s="197">
        <v>0</v>
      </c>
      <c r="G200" s="198">
        <f t="shared" si="34"/>
        <v>0</v>
      </c>
      <c r="H200" s="198">
        <f t="shared" si="35"/>
        <v>0</v>
      </c>
    </row>
    <row r="201" spans="2:8" hidden="1" outlineLevel="2" x14ac:dyDescent="0.25">
      <c r="B201" s="1" t="s">
        <v>270</v>
      </c>
      <c r="C201" s="191">
        <v>2863.44</v>
      </c>
      <c r="E201" s="197">
        <v>0</v>
      </c>
      <c r="F201" s="197">
        <v>0</v>
      </c>
      <c r="G201" s="198">
        <f t="shared" si="34"/>
        <v>0</v>
      </c>
      <c r="H201" s="198">
        <f t="shared" si="35"/>
        <v>0</v>
      </c>
    </row>
    <row r="202" spans="2:8" hidden="1" outlineLevel="2" x14ac:dyDescent="0.25">
      <c r="B202" s="1" t="s">
        <v>271</v>
      </c>
      <c r="C202" s="191">
        <v>3674.2</v>
      </c>
      <c r="E202" s="197">
        <v>0</v>
      </c>
      <c r="F202" s="197">
        <v>0</v>
      </c>
      <c r="G202" s="198">
        <f t="shared" si="34"/>
        <v>0</v>
      </c>
      <c r="H202" s="198">
        <f t="shared" si="35"/>
        <v>0</v>
      </c>
    </row>
    <row r="203" spans="2:8" hidden="1" outlineLevel="2" x14ac:dyDescent="0.25">
      <c r="B203" s="1" t="s">
        <v>272</v>
      </c>
      <c r="C203" s="191">
        <v>9859.86</v>
      </c>
      <c r="E203" s="197">
        <v>0</v>
      </c>
      <c r="F203" s="197">
        <v>0</v>
      </c>
      <c r="G203" s="198">
        <f t="shared" si="34"/>
        <v>0</v>
      </c>
      <c r="H203" s="198">
        <f t="shared" si="35"/>
        <v>0</v>
      </c>
    </row>
    <row r="204" spans="2:8" hidden="1" outlineLevel="1" collapsed="1" x14ac:dyDescent="0.25">
      <c r="B204" s="207" t="s">
        <v>273</v>
      </c>
      <c r="C204" s="208">
        <v>44739.77</v>
      </c>
      <c r="E204" s="209"/>
      <c r="F204" s="209"/>
      <c r="G204" s="210"/>
      <c r="H204" s="210"/>
    </row>
    <row r="205" spans="2:8" hidden="1" outlineLevel="2" x14ac:dyDescent="0.25">
      <c r="B205" s="1" t="s">
        <v>274</v>
      </c>
      <c r="C205" s="191">
        <v>1693.92</v>
      </c>
      <c r="E205" s="197">
        <v>0</v>
      </c>
      <c r="F205" s="197">
        <v>0</v>
      </c>
      <c r="G205" s="198">
        <f t="shared" ref="G205:G229" si="36">+E205*C205</f>
        <v>0</v>
      </c>
      <c r="H205" s="198">
        <f t="shared" ref="H205:H229" si="37">+F205*C205</f>
        <v>0</v>
      </c>
    </row>
    <row r="206" spans="2:8" hidden="1" outlineLevel="2" x14ac:dyDescent="0.25">
      <c r="B206" s="1" t="s">
        <v>275</v>
      </c>
      <c r="C206" s="191">
        <v>1322.48</v>
      </c>
      <c r="E206" s="197">
        <v>0</v>
      </c>
      <c r="F206" s="197">
        <v>0</v>
      </c>
      <c r="G206" s="198">
        <f t="shared" si="36"/>
        <v>0</v>
      </c>
      <c r="H206" s="198">
        <f t="shared" si="37"/>
        <v>0</v>
      </c>
    </row>
    <row r="207" spans="2:8" hidden="1" outlineLevel="2" x14ac:dyDescent="0.25">
      <c r="B207" s="1" t="s">
        <v>276</v>
      </c>
      <c r="C207" s="191">
        <v>828.09</v>
      </c>
      <c r="E207" s="197">
        <v>0</v>
      </c>
      <c r="F207" s="197">
        <v>0</v>
      </c>
      <c r="G207" s="198">
        <f t="shared" si="36"/>
        <v>0</v>
      </c>
      <c r="H207" s="198">
        <f t="shared" si="37"/>
        <v>0</v>
      </c>
    </row>
    <row r="208" spans="2:8" hidden="1" outlineLevel="2" x14ac:dyDescent="0.25">
      <c r="B208" s="1" t="s">
        <v>277</v>
      </c>
      <c r="C208" s="191">
        <v>1545.82</v>
      </c>
      <c r="E208" s="197">
        <v>0</v>
      </c>
      <c r="F208" s="197">
        <v>0</v>
      </c>
      <c r="G208" s="198">
        <f t="shared" si="36"/>
        <v>0</v>
      </c>
      <c r="H208" s="198">
        <f t="shared" si="37"/>
        <v>0</v>
      </c>
    </row>
    <row r="209" spans="2:8" hidden="1" outlineLevel="2" x14ac:dyDescent="0.25">
      <c r="B209" s="1" t="s">
        <v>278</v>
      </c>
      <c r="C209" s="191">
        <v>1294.44</v>
      </c>
      <c r="E209" s="197">
        <v>0</v>
      </c>
      <c r="F209" s="197">
        <v>0</v>
      </c>
      <c r="G209" s="198">
        <f t="shared" si="36"/>
        <v>0</v>
      </c>
      <c r="H209" s="198">
        <f t="shared" si="37"/>
        <v>0</v>
      </c>
    </row>
    <row r="210" spans="2:8" hidden="1" outlineLevel="2" x14ac:dyDescent="0.25">
      <c r="B210" s="1" t="s">
        <v>279</v>
      </c>
      <c r="C210" s="191">
        <v>4637.46</v>
      </c>
      <c r="E210" s="197">
        <v>0</v>
      </c>
      <c r="F210" s="197">
        <v>0</v>
      </c>
      <c r="G210" s="198">
        <f t="shared" si="36"/>
        <v>0</v>
      </c>
      <c r="H210" s="198">
        <f t="shared" si="37"/>
        <v>0</v>
      </c>
    </row>
    <row r="211" spans="2:8" hidden="1" outlineLevel="2" x14ac:dyDescent="0.25">
      <c r="B211" s="1" t="s">
        <v>280</v>
      </c>
      <c r="C211" s="191">
        <v>561.44000000000005</v>
      </c>
      <c r="E211" s="197">
        <v>0</v>
      </c>
      <c r="F211" s="197">
        <v>0</v>
      </c>
      <c r="G211" s="198">
        <f t="shared" si="36"/>
        <v>0</v>
      </c>
      <c r="H211" s="198">
        <f t="shared" si="37"/>
        <v>0</v>
      </c>
    </row>
    <row r="212" spans="2:8" hidden="1" outlineLevel="2" x14ac:dyDescent="0.25">
      <c r="B212" s="1" t="s">
        <v>281</v>
      </c>
      <c r="C212" s="191">
        <v>4960.26</v>
      </c>
      <c r="E212" s="197">
        <v>0</v>
      </c>
      <c r="F212" s="197">
        <v>0</v>
      </c>
      <c r="G212" s="198">
        <f t="shared" si="36"/>
        <v>0</v>
      </c>
      <c r="H212" s="198">
        <f t="shared" si="37"/>
        <v>0</v>
      </c>
    </row>
    <row r="213" spans="2:8" hidden="1" outlineLevel="2" x14ac:dyDescent="0.25">
      <c r="B213" s="1" t="s">
        <v>282</v>
      </c>
      <c r="C213" s="191">
        <v>711.4</v>
      </c>
      <c r="E213" s="197">
        <v>0</v>
      </c>
      <c r="F213" s="197">
        <v>0</v>
      </c>
      <c r="G213" s="198">
        <f t="shared" si="36"/>
        <v>0</v>
      </c>
      <c r="H213" s="198">
        <f t="shared" si="37"/>
        <v>0</v>
      </c>
    </row>
    <row r="214" spans="2:8" hidden="1" outlineLevel="2" x14ac:dyDescent="0.25">
      <c r="B214" s="1" t="s">
        <v>283</v>
      </c>
      <c r="C214" s="191">
        <v>769.21</v>
      </c>
      <c r="E214" s="197">
        <v>0</v>
      </c>
      <c r="F214" s="197">
        <v>0</v>
      </c>
      <c r="G214" s="198">
        <f t="shared" si="36"/>
        <v>0</v>
      </c>
      <c r="H214" s="198">
        <f t="shared" si="37"/>
        <v>0</v>
      </c>
    </row>
    <row r="215" spans="2:8" hidden="1" outlineLevel="2" x14ac:dyDescent="0.25">
      <c r="B215" s="1" t="s">
        <v>284</v>
      </c>
      <c r="C215" s="191">
        <v>1422.8</v>
      </c>
      <c r="E215" s="197">
        <v>0</v>
      </c>
      <c r="F215" s="197">
        <v>0</v>
      </c>
      <c r="G215" s="198">
        <f t="shared" si="36"/>
        <v>0</v>
      </c>
      <c r="H215" s="198">
        <f t="shared" si="37"/>
        <v>0</v>
      </c>
    </row>
    <row r="216" spans="2:8" hidden="1" outlineLevel="2" x14ac:dyDescent="0.25">
      <c r="B216" s="1" t="s">
        <v>285</v>
      </c>
      <c r="C216" s="191">
        <v>769.21</v>
      </c>
      <c r="E216" s="197">
        <v>0</v>
      </c>
      <c r="F216" s="197">
        <v>0</v>
      </c>
      <c r="G216" s="198">
        <f t="shared" si="36"/>
        <v>0</v>
      </c>
      <c r="H216" s="198">
        <f t="shared" si="37"/>
        <v>0</v>
      </c>
    </row>
    <row r="217" spans="2:8" hidden="1" outlineLevel="2" x14ac:dyDescent="0.25">
      <c r="B217" s="1" t="s">
        <v>286</v>
      </c>
      <c r="C217" s="191">
        <v>2845.6</v>
      </c>
      <c r="E217" s="197">
        <v>0</v>
      </c>
      <c r="F217" s="197">
        <v>0</v>
      </c>
      <c r="G217" s="198">
        <f t="shared" si="36"/>
        <v>0</v>
      </c>
      <c r="H217" s="198">
        <f t="shared" si="37"/>
        <v>0</v>
      </c>
    </row>
    <row r="218" spans="2:8" hidden="1" outlineLevel="2" x14ac:dyDescent="0.25">
      <c r="B218" s="1" t="s">
        <v>287</v>
      </c>
      <c r="C218" s="191">
        <v>1594.78</v>
      </c>
      <c r="E218" s="197">
        <v>0</v>
      </c>
      <c r="F218" s="197">
        <v>0</v>
      </c>
      <c r="G218" s="198">
        <f t="shared" si="36"/>
        <v>0</v>
      </c>
      <c r="H218" s="198">
        <f t="shared" si="37"/>
        <v>0</v>
      </c>
    </row>
    <row r="219" spans="2:8" hidden="1" outlineLevel="2" x14ac:dyDescent="0.25">
      <c r="B219" s="1" t="s">
        <v>288</v>
      </c>
      <c r="C219" s="191">
        <v>1765.02</v>
      </c>
      <c r="E219" s="197">
        <v>0</v>
      </c>
      <c r="F219" s="197">
        <v>0</v>
      </c>
      <c r="G219" s="198">
        <f t="shared" si="36"/>
        <v>0</v>
      </c>
      <c r="H219" s="198">
        <f t="shared" si="37"/>
        <v>0</v>
      </c>
    </row>
    <row r="220" spans="2:8" hidden="1" outlineLevel="2" x14ac:dyDescent="0.25">
      <c r="B220" s="1" t="s">
        <v>289</v>
      </c>
      <c r="C220" s="191">
        <v>2396.31</v>
      </c>
      <c r="E220" s="197">
        <v>0</v>
      </c>
      <c r="F220" s="197">
        <v>0</v>
      </c>
      <c r="G220" s="198">
        <f t="shared" si="36"/>
        <v>0</v>
      </c>
      <c r="H220" s="198">
        <f t="shared" si="37"/>
        <v>0</v>
      </c>
    </row>
    <row r="221" spans="2:8" hidden="1" outlineLevel="2" x14ac:dyDescent="0.25">
      <c r="B221" s="1" t="s">
        <v>290</v>
      </c>
      <c r="C221" s="191">
        <v>1176.68</v>
      </c>
      <c r="E221" s="197">
        <v>0</v>
      </c>
      <c r="F221" s="197">
        <v>0</v>
      </c>
      <c r="G221" s="198">
        <f t="shared" si="36"/>
        <v>0</v>
      </c>
      <c r="H221" s="198">
        <f t="shared" si="37"/>
        <v>0</v>
      </c>
    </row>
    <row r="222" spans="2:8" hidden="1" outlineLevel="2" x14ac:dyDescent="0.25">
      <c r="B222" s="1" t="s">
        <v>291</v>
      </c>
      <c r="C222" s="191">
        <v>797.39</v>
      </c>
      <c r="E222" s="197">
        <v>0</v>
      </c>
      <c r="F222" s="197">
        <v>0</v>
      </c>
      <c r="G222" s="198">
        <f t="shared" si="36"/>
        <v>0</v>
      </c>
      <c r="H222" s="198">
        <f t="shared" si="37"/>
        <v>0</v>
      </c>
    </row>
    <row r="223" spans="2:8" hidden="1" outlineLevel="2" x14ac:dyDescent="0.25">
      <c r="B223" s="1" t="s">
        <v>292</v>
      </c>
      <c r="C223" s="191">
        <v>4437.96</v>
      </c>
      <c r="E223" s="197">
        <v>0</v>
      </c>
      <c r="F223" s="197">
        <v>0</v>
      </c>
      <c r="G223" s="198">
        <f t="shared" si="36"/>
        <v>0</v>
      </c>
      <c r="H223" s="198">
        <f t="shared" si="37"/>
        <v>0</v>
      </c>
    </row>
    <row r="224" spans="2:8" hidden="1" outlineLevel="2" x14ac:dyDescent="0.25">
      <c r="B224" s="1" t="s">
        <v>293</v>
      </c>
      <c r="C224" s="191">
        <v>2001.51</v>
      </c>
      <c r="E224" s="197">
        <v>0</v>
      </c>
      <c r="F224" s="197">
        <v>0</v>
      </c>
      <c r="G224" s="198">
        <f t="shared" si="36"/>
        <v>0</v>
      </c>
      <c r="H224" s="198">
        <f t="shared" si="37"/>
        <v>0</v>
      </c>
    </row>
    <row r="225" spans="2:8" hidden="1" outlineLevel="2" x14ac:dyDescent="0.25">
      <c r="B225" s="1" t="s">
        <v>294</v>
      </c>
      <c r="C225" s="191">
        <v>5226.34</v>
      </c>
      <c r="E225" s="197">
        <v>0</v>
      </c>
      <c r="F225" s="197">
        <v>0</v>
      </c>
      <c r="G225" s="198">
        <f t="shared" si="36"/>
        <v>0</v>
      </c>
      <c r="H225" s="198">
        <f t="shared" si="37"/>
        <v>0</v>
      </c>
    </row>
    <row r="226" spans="2:8" hidden="1" outlineLevel="2" x14ac:dyDescent="0.25">
      <c r="B226" s="1" t="s">
        <v>124</v>
      </c>
      <c r="C226" s="191">
        <v>287.5</v>
      </c>
      <c r="E226" s="197">
        <v>0</v>
      </c>
      <c r="F226" s="197">
        <v>0</v>
      </c>
      <c r="G226" s="198">
        <f t="shared" si="36"/>
        <v>0</v>
      </c>
      <c r="H226" s="198">
        <f t="shared" si="37"/>
        <v>0</v>
      </c>
    </row>
    <row r="227" spans="2:8" hidden="1" outlineLevel="2" x14ac:dyDescent="0.25">
      <c r="B227" s="1" t="s">
        <v>121</v>
      </c>
      <c r="C227" s="191">
        <v>287.5</v>
      </c>
      <c r="E227" s="197">
        <v>0</v>
      </c>
      <c r="F227" s="197">
        <v>0</v>
      </c>
      <c r="G227" s="198">
        <f t="shared" si="36"/>
        <v>0</v>
      </c>
      <c r="H227" s="198">
        <f t="shared" si="37"/>
        <v>0</v>
      </c>
    </row>
    <row r="228" spans="2:8" hidden="1" outlineLevel="2" x14ac:dyDescent="0.25">
      <c r="B228" s="1" t="s">
        <v>295</v>
      </c>
      <c r="C228" s="191">
        <v>663.84</v>
      </c>
      <c r="E228" s="197">
        <v>0</v>
      </c>
      <c r="F228" s="197">
        <v>0</v>
      </c>
      <c r="G228" s="198">
        <f t="shared" si="36"/>
        <v>0</v>
      </c>
      <c r="H228" s="198">
        <f t="shared" si="37"/>
        <v>0</v>
      </c>
    </row>
    <row r="229" spans="2:8" hidden="1" outlineLevel="2" x14ac:dyDescent="0.25">
      <c r="B229" s="1" t="s">
        <v>296</v>
      </c>
      <c r="C229" s="191">
        <v>742.81</v>
      </c>
      <c r="E229" s="197">
        <v>0</v>
      </c>
      <c r="F229" s="197">
        <v>0</v>
      </c>
      <c r="G229" s="198">
        <f t="shared" si="36"/>
        <v>0</v>
      </c>
      <c r="H229" s="198">
        <f t="shared" si="37"/>
        <v>0</v>
      </c>
    </row>
    <row r="230" spans="2:8" hidden="1" outlineLevel="1" collapsed="1" x14ac:dyDescent="0.25">
      <c r="B230" s="207" t="s">
        <v>297</v>
      </c>
      <c r="C230" s="208">
        <v>7447.38</v>
      </c>
      <c r="E230" s="209"/>
      <c r="F230" s="209"/>
      <c r="G230" s="210"/>
      <c r="H230" s="210"/>
    </row>
    <row r="231" spans="2:8" hidden="1" outlineLevel="2" x14ac:dyDescent="0.25">
      <c r="B231" s="1" t="s">
        <v>298</v>
      </c>
      <c r="C231" s="191">
        <v>6244.41</v>
      </c>
      <c r="E231" s="197">
        <v>0</v>
      </c>
      <c r="F231" s="197">
        <v>0</v>
      </c>
      <c r="G231" s="198">
        <f t="shared" ref="G231:G232" si="38">+E231*C231</f>
        <v>0</v>
      </c>
      <c r="H231" s="198">
        <f t="shared" ref="H231:H232" si="39">+F231*C231</f>
        <v>0</v>
      </c>
    </row>
    <row r="232" spans="2:8" hidden="1" outlineLevel="2" x14ac:dyDescent="0.25">
      <c r="B232" s="1" t="s">
        <v>107</v>
      </c>
      <c r="C232" s="191">
        <v>1202.97</v>
      </c>
      <c r="E232" s="197">
        <v>0</v>
      </c>
      <c r="F232" s="197">
        <v>0</v>
      </c>
      <c r="G232" s="198">
        <f t="shared" si="38"/>
        <v>0</v>
      </c>
      <c r="H232" s="198">
        <f t="shared" si="39"/>
        <v>0</v>
      </c>
    </row>
    <row r="233" spans="2:8" hidden="1" outlineLevel="1" collapsed="1" x14ac:dyDescent="0.25">
      <c r="B233" s="207" t="s">
        <v>299</v>
      </c>
      <c r="C233" s="208">
        <v>60980.65</v>
      </c>
      <c r="E233" s="209"/>
      <c r="F233" s="209"/>
      <c r="G233" s="210"/>
      <c r="H233" s="210"/>
    </row>
    <row r="234" spans="2:8" hidden="1" outlineLevel="2" x14ac:dyDescent="0.25">
      <c r="B234" s="1" t="s">
        <v>300</v>
      </c>
      <c r="C234" s="191">
        <v>9496.2000000000007</v>
      </c>
      <c r="E234" s="197">
        <v>0</v>
      </c>
      <c r="F234" s="197">
        <v>0</v>
      </c>
      <c r="G234" s="198">
        <f t="shared" ref="G234:G241" si="40">+E234*C234</f>
        <v>0</v>
      </c>
      <c r="H234" s="198">
        <f t="shared" ref="H234:H241" si="41">+F234*C234</f>
        <v>0</v>
      </c>
    </row>
    <row r="235" spans="2:8" hidden="1" outlineLevel="2" x14ac:dyDescent="0.25">
      <c r="B235" s="1" t="s">
        <v>301</v>
      </c>
      <c r="C235" s="191">
        <v>33355.86</v>
      </c>
      <c r="E235" s="197">
        <v>0</v>
      </c>
      <c r="F235" s="197">
        <v>0</v>
      </c>
      <c r="G235" s="198">
        <f t="shared" si="40"/>
        <v>0</v>
      </c>
      <c r="H235" s="198">
        <f t="shared" si="41"/>
        <v>0</v>
      </c>
    </row>
    <row r="236" spans="2:8" hidden="1" outlineLevel="2" x14ac:dyDescent="0.25">
      <c r="B236" s="1" t="s">
        <v>302</v>
      </c>
      <c r="C236" s="191">
        <v>6045.86</v>
      </c>
      <c r="E236" s="197">
        <v>0</v>
      </c>
      <c r="F236" s="197">
        <v>0</v>
      </c>
      <c r="G236" s="198">
        <f t="shared" si="40"/>
        <v>0</v>
      </c>
      <c r="H236" s="198">
        <f t="shared" si="41"/>
        <v>0</v>
      </c>
    </row>
    <row r="237" spans="2:8" hidden="1" outlineLevel="2" x14ac:dyDescent="0.25">
      <c r="B237" s="1" t="s">
        <v>303</v>
      </c>
      <c r="C237" s="191">
        <v>5513.04</v>
      </c>
      <c r="E237" s="197">
        <v>0</v>
      </c>
      <c r="F237" s="197">
        <v>0</v>
      </c>
      <c r="G237" s="198">
        <f t="shared" si="40"/>
        <v>0</v>
      </c>
      <c r="H237" s="198">
        <f t="shared" si="41"/>
        <v>0</v>
      </c>
    </row>
    <row r="238" spans="2:8" hidden="1" outlineLevel="2" x14ac:dyDescent="0.25">
      <c r="B238" s="1" t="s">
        <v>304</v>
      </c>
      <c r="C238" s="191">
        <v>2336.73</v>
      </c>
      <c r="E238" s="197">
        <v>0</v>
      </c>
      <c r="F238" s="197">
        <v>0</v>
      </c>
      <c r="G238" s="198">
        <f t="shared" si="40"/>
        <v>0</v>
      </c>
      <c r="H238" s="198">
        <f t="shared" si="41"/>
        <v>0</v>
      </c>
    </row>
    <row r="239" spans="2:8" hidden="1" outlineLevel="2" x14ac:dyDescent="0.25">
      <c r="B239" s="1" t="s">
        <v>305</v>
      </c>
      <c r="C239" s="191">
        <v>1557.82</v>
      </c>
      <c r="E239" s="197">
        <v>0</v>
      </c>
      <c r="F239" s="197">
        <v>0</v>
      </c>
      <c r="G239" s="198">
        <f t="shared" si="40"/>
        <v>0</v>
      </c>
      <c r="H239" s="198">
        <f t="shared" si="41"/>
        <v>0</v>
      </c>
    </row>
    <row r="240" spans="2:8" hidden="1" outlineLevel="2" x14ac:dyDescent="0.25">
      <c r="B240" s="1" t="s">
        <v>306</v>
      </c>
      <c r="C240" s="191">
        <v>1837.02</v>
      </c>
      <c r="E240" s="197">
        <v>0</v>
      </c>
      <c r="F240" s="197">
        <v>0</v>
      </c>
      <c r="G240" s="198">
        <f t="shared" si="40"/>
        <v>0</v>
      </c>
      <c r="H240" s="198">
        <f t="shared" si="41"/>
        <v>0</v>
      </c>
    </row>
    <row r="241" spans="2:8" hidden="1" outlineLevel="2" x14ac:dyDescent="0.25">
      <c r="B241" s="1" t="s">
        <v>307</v>
      </c>
      <c r="C241" s="191">
        <v>838.12</v>
      </c>
      <c r="E241" s="197">
        <v>0</v>
      </c>
      <c r="F241" s="197">
        <v>0</v>
      </c>
      <c r="G241" s="198">
        <f t="shared" si="40"/>
        <v>0</v>
      </c>
      <c r="H241" s="198">
        <f t="shared" si="41"/>
        <v>0</v>
      </c>
    </row>
    <row r="242" spans="2:8" hidden="1" outlineLevel="1" collapsed="1" x14ac:dyDescent="0.25">
      <c r="B242" s="207" t="s">
        <v>308</v>
      </c>
      <c r="C242" s="208">
        <v>33942.879999999997</v>
      </c>
      <c r="E242" s="209"/>
      <c r="F242" s="209"/>
      <c r="G242" s="210"/>
      <c r="H242" s="210"/>
    </row>
    <row r="243" spans="2:8" hidden="1" outlineLevel="2" x14ac:dyDescent="0.25">
      <c r="B243" s="1" t="s">
        <v>309</v>
      </c>
      <c r="C243" s="191">
        <v>1197.02</v>
      </c>
      <c r="E243" s="197">
        <v>0</v>
      </c>
      <c r="F243" s="197">
        <v>0</v>
      </c>
      <c r="G243" s="198">
        <f t="shared" ref="G243:G248" si="42">+E243*C243</f>
        <v>0</v>
      </c>
      <c r="H243" s="198">
        <f t="shared" ref="H243:H248" si="43">+F243*C243</f>
        <v>0</v>
      </c>
    </row>
    <row r="244" spans="2:8" hidden="1" outlineLevel="2" x14ac:dyDescent="0.25">
      <c r="B244" s="1" t="s">
        <v>310</v>
      </c>
      <c r="C244" s="191">
        <v>1437.48</v>
      </c>
      <c r="E244" s="197">
        <v>0</v>
      </c>
      <c r="F244" s="197">
        <v>0</v>
      </c>
      <c r="G244" s="198">
        <f t="shared" si="42"/>
        <v>0</v>
      </c>
      <c r="H244" s="198">
        <f t="shared" si="43"/>
        <v>0</v>
      </c>
    </row>
    <row r="245" spans="2:8" hidden="1" outlineLevel="2" x14ac:dyDescent="0.25">
      <c r="B245" s="1" t="s">
        <v>311</v>
      </c>
      <c r="C245" s="191">
        <v>431.24</v>
      </c>
      <c r="E245" s="197">
        <v>0</v>
      </c>
      <c r="F245" s="197">
        <v>0</v>
      </c>
      <c r="G245" s="198">
        <f t="shared" si="42"/>
        <v>0</v>
      </c>
      <c r="H245" s="198">
        <f t="shared" si="43"/>
        <v>0</v>
      </c>
    </row>
    <row r="246" spans="2:8" hidden="1" outlineLevel="2" x14ac:dyDescent="0.25">
      <c r="B246" s="1" t="s">
        <v>312</v>
      </c>
      <c r="C246" s="191">
        <v>7647.39</v>
      </c>
      <c r="E246" s="197">
        <v>0</v>
      </c>
      <c r="F246" s="197">
        <v>0</v>
      </c>
      <c r="G246" s="198">
        <f t="shared" si="42"/>
        <v>0</v>
      </c>
      <c r="H246" s="198">
        <f t="shared" si="43"/>
        <v>0</v>
      </c>
    </row>
    <row r="247" spans="2:8" hidden="1" outlineLevel="2" x14ac:dyDescent="0.25">
      <c r="B247" s="1" t="s">
        <v>313</v>
      </c>
      <c r="C247" s="191">
        <v>11232.46</v>
      </c>
      <c r="E247" s="197">
        <v>0</v>
      </c>
      <c r="F247" s="197">
        <v>0</v>
      </c>
      <c r="G247" s="198">
        <f t="shared" si="42"/>
        <v>0</v>
      </c>
      <c r="H247" s="198">
        <f t="shared" si="43"/>
        <v>0</v>
      </c>
    </row>
    <row r="248" spans="2:8" hidden="1" outlineLevel="2" x14ac:dyDescent="0.25">
      <c r="B248" s="1" t="s">
        <v>314</v>
      </c>
      <c r="C248" s="191">
        <v>11997.29</v>
      </c>
      <c r="E248" s="197">
        <v>0</v>
      </c>
      <c r="F248" s="197">
        <v>0</v>
      </c>
      <c r="G248" s="198">
        <f t="shared" si="42"/>
        <v>0</v>
      </c>
      <c r="H248" s="198">
        <f t="shared" si="43"/>
        <v>0</v>
      </c>
    </row>
    <row r="249" spans="2:8" hidden="1" outlineLevel="1" collapsed="1" x14ac:dyDescent="0.25">
      <c r="B249" s="207" t="s">
        <v>315</v>
      </c>
      <c r="C249" s="208">
        <v>12595.4</v>
      </c>
      <c r="E249" s="209"/>
      <c r="F249" s="209"/>
      <c r="G249" s="210"/>
      <c r="H249" s="210"/>
    </row>
    <row r="250" spans="2:8" hidden="1" outlineLevel="2" x14ac:dyDescent="0.25">
      <c r="B250" s="1" t="s">
        <v>316</v>
      </c>
      <c r="C250" s="191">
        <v>1317.5</v>
      </c>
      <c r="E250" s="197">
        <v>0</v>
      </c>
      <c r="F250" s="197">
        <v>0</v>
      </c>
      <c r="G250" s="198">
        <f t="shared" ref="G250:G252" si="44">+E250*C250</f>
        <v>0</v>
      </c>
      <c r="H250" s="198">
        <f t="shared" ref="H250:H252" si="45">+F250*C250</f>
        <v>0</v>
      </c>
    </row>
    <row r="251" spans="2:8" hidden="1" outlineLevel="2" x14ac:dyDescent="0.25">
      <c r="B251" s="1" t="s">
        <v>317</v>
      </c>
      <c r="C251" s="191">
        <v>1618.02</v>
      </c>
      <c r="E251" s="197">
        <v>0</v>
      </c>
      <c r="F251" s="197">
        <v>0</v>
      </c>
      <c r="G251" s="198">
        <f t="shared" si="44"/>
        <v>0</v>
      </c>
      <c r="H251" s="198">
        <f t="shared" si="45"/>
        <v>0</v>
      </c>
    </row>
    <row r="252" spans="2:8" hidden="1" outlineLevel="2" x14ac:dyDescent="0.25">
      <c r="B252" s="1" t="s">
        <v>318</v>
      </c>
      <c r="C252" s="191">
        <v>9659.8799999999992</v>
      </c>
      <c r="E252" s="197">
        <v>0</v>
      </c>
      <c r="F252" s="197">
        <v>0</v>
      </c>
      <c r="G252" s="198">
        <f t="shared" si="44"/>
        <v>0</v>
      </c>
      <c r="H252" s="198">
        <f t="shared" si="45"/>
        <v>0</v>
      </c>
    </row>
    <row r="253" spans="2:8" hidden="1" outlineLevel="1" collapsed="1" x14ac:dyDescent="0.25">
      <c r="B253" s="207" t="s">
        <v>319</v>
      </c>
      <c r="C253" s="208">
        <v>5273.89</v>
      </c>
      <c r="E253" s="209"/>
      <c r="F253" s="209"/>
      <c r="G253" s="210"/>
      <c r="H253" s="210"/>
    </row>
    <row r="254" spans="2:8" hidden="1" outlineLevel="2" x14ac:dyDescent="0.25">
      <c r="B254" s="1" t="s">
        <v>320</v>
      </c>
      <c r="C254" s="191">
        <v>2229.8200000000002</v>
      </c>
      <c r="E254" s="211">
        <v>0</v>
      </c>
      <c r="F254" s="211">
        <v>0</v>
      </c>
      <c r="G254" s="212">
        <f>+E254*C254</f>
        <v>0</v>
      </c>
      <c r="H254" s="212">
        <f>+F254*C254</f>
        <v>0</v>
      </c>
    </row>
    <row r="255" spans="2:8" hidden="1" outlineLevel="2" x14ac:dyDescent="0.25">
      <c r="B255" s="1" t="s">
        <v>321</v>
      </c>
      <c r="C255" s="191">
        <v>1083.8699999999999</v>
      </c>
      <c r="E255" s="211">
        <v>0</v>
      </c>
      <c r="F255" s="211">
        <v>0</v>
      </c>
      <c r="G255" s="212">
        <f>+E255*C255</f>
        <v>0</v>
      </c>
      <c r="H255" s="212">
        <f>+F255*C255</f>
        <v>0</v>
      </c>
    </row>
    <row r="256" spans="2:8" hidden="1" outlineLevel="2" x14ac:dyDescent="0.25">
      <c r="B256" s="1" t="s">
        <v>322</v>
      </c>
      <c r="C256" s="191">
        <v>1960.2</v>
      </c>
      <c r="E256" s="211">
        <v>0</v>
      </c>
      <c r="F256" s="211">
        <v>0</v>
      </c>
      <c r="G256" s="212">
        <f>+E256*C256</f>
        <v>0</v>
      </c>
      <c r="H256" s="212">
        <f>+F256*C256</f>
        <v>0</v>
      </c>
    </row>
    <row r="257" spans="2:8" hidden="1" outlineLevel="1" collapsed="1" x14ac:dyDescent="0.25">
      <c r="B257" s="207" t="s">
        <v>323</v>
      </c>
      <c r="C257" s="208">
        <v>26996.04</v>
      </c>
      <c r="E257" s="209"/>
      <c r="F257" s="209"/>
      <c r="G257" s="210"/>
      <c r="H257" s="210"/>
    </row>
    <row r="258" spans="2:8" hidden="1" outlineLevel="1" x14ac:dyDescent="0.25">
      <c r="B258" s="1" t="s">
        <v>324</v>
      </c>
      <c r="C258" s="191">
        <v>26996.04</v>
      </c>
      <c r="E258" s="211">
        <v>0</v>
      </c>
      <c r="F258" s="211">
        <v>0</v>
      </c>
      <c r="G258" s="212">
        <f>+E258*C258</f>
        <v>0</v>
      </c>
      <c r="H258" s="212">
        <f>+F258*C258</f>
        <v>0</v>
      </c>
    </row>
    <row r="259" spans="2:8" collapsed="1" x14ac:dyDescent="0.25">
      <c r="B259" s="192" t="s">
        <v>325</v>
      </c>
      <c r="C259" s="193">
        <f>+C260+C262+C265+C291+C306+C308+C334+C348+C367+C376+C379+C382+C409+C418+C426+C443+C445+C448+C459+C465+C474+C489+C520+C523+C533+C540+C549+C551+C554</f>
        <v>2435578.5999999996</v>
      </c>
      <c r="E259" s="206">
        <f>+G259/C259</f>
        <v>0</v>
      </c>
      <c r="F259" s="206">
        <f>+H259/C259</f>
        <v>0</v>
      </c>
      <c r="G259" s="205">
        <f>+G260+G262+G265</f>
        <v>0</v>
      </c>
      <c r="H259" s="205">
        <f>+H260+H262+H265</f>
        <v>0</v>
      </c>
    </row>
    <row r="260" spans="2:8" hidden="1" outlineLevel="1" x14ac:dyDescent="0.25">
      <c r="B260" s="207" t="s">
        <v>104</v>
      </c>
      <c r="C260" s="208">
        <v>9070.2000000000007</v>
      </c>
      <c r="E260" s="209"/>
      <c r="F260" s="209"/>
      <c r="G260" s="210"/>
      <c r="H260" s="210"/>
    </row>
    <row r="261" spans="2:8" hidden="1" outlineLevel="2" x14ac:dyDescent="0.25">
      <c r="B261" s="1" t="s">
        <v>105</v>
      </c>
      <c r="C261" s="191">
        <v>9070.2000000000007</v>
      </c>
      <c r="E261" s="211">
        <v>0</v>
      </c>
      <c r="F261" s="211">
        <v>0</v>
      </c>
      <c r="G261" s="212">
        <f>+E261*C261</f>
        <v>0</v>
      </c>
      <c r="H261" s="212">
        <f>+F261*C261</f>
        <v>0</v>
      </c>
    </row>
    <row r="262" spans="2:8" hidden="1" outlineLevel="1" collapsed="1" x14ac:dyDescent="0.25">
      <c r="B262" s="207" t="s">
        <v>106</v>
      </c>
      <c r="C262" s="208">
        <v>1855.37</v>
      </c>
      <c r="E262" s="209"/>
      <c r="F262" s="209"/>
      <c r="G262" s="210"/>
      <c r="H262" s="210"/>
    </row>
    <row r="263" spans="2:8" hidden="1" outlineLevel="2" x14ac:dyDescent="0.25">
      <c r="B263" s="1" t="s">
        <v>107</v>
      </c>
      <c r="C263" s="191">
        <v>1118.55</v>
      </c>
      <c r="E263" s="211">
        <v>0</v>
      </c>
      <c r="F263" s="211">
        <v>0</v>
      </c>
      <c r="G263" s="212">
        <f>+E263*C263</f>
        <v>0</v>
      </c>
      <c r="H263" s="212">
        <f>+F263*C263</f>
        <v>0</v>
      </c>
    </row>
    <row r="264" spans="2:8" hidden="1" outlineLevel="2" x14ac:dyDescent="0.25">
      <c r="B264" s="1" t="s">
        <v>108</v>
      </c>
      <c r="C264" s="191">
        <v>736.82</v>
      </c>
      <c r="E264" s="211">
        <v>0</v>
      </c>
      <c r="F264" s="211">
        <v>0</v>
      </c>
      <c r="G264" s="212">
        <f>+E264*C264</f>
        <v>0</v>
      </c>
      <c r="H264" s="212">
        <f>+F264*C264</f>
        <v>0</v>
      </c>
    </row>
    <row r="265" spans="2:8" hidden="1" outlineLevel="1" collapsed="1" x14ac:dyDescent="0.25">
      <c r="B265" s="207" t="s">
        <v>109</v>
      </c>
      <c r="C265" s="208">
        <v>183681.82</v>
      </c>
      <c r="E265" s="209"/>
      <c r="F265" s="209"/>
      <c r="G265" s="210"/>
      <c r="H265" s="210"/>
    </row>
    <row r="266" spans="2:8" hidden="1" outlineLevel="2" x14ac:dyDescent="0.25">
      <c r="B266" s="1" t="s">
        <v>110</v>
      </c>
      <c r="C266" s="191">
        <v>10207.56</v>
      </c>
      <c r="E266" s="211">
        <v>0</v>
      </c>
      <c r="F266" s="211">
        <v>0</v>
      </c>
      <c r="G266" s="212">
        <f>+E266*C266</f>
        <v>0</v>
      </c>
      <c r="H266" s="212">
        <f>+F266*C266</f>
        <v>0</v>
      </c>
    </row>
    <row r="267" spans="2:8" hidden="1" outlineLevel="2" x14ac:dyDescent="0.25">
      <c r="B267" s="1" t="s">
        <v>111</v>
      </c>
      <c r="C267" s="191">
        <v>5045.08</v>
      </c>
      <c r="E267" s="211">
        <v>0</v>
      </c>
      <c r="F267" s="211">
        <v>0</v>
      </c>
      <c r="G267" s="212">
        <f>+E267*C267</f>
        <v>0</v>
      </c>
      <c r="H267" s="212">
        <f>+F267*C267</f>
        <v>0</v>
      </c>
    </row>
    <row r="268" spans="2:8" hidden="1" outlineLevel="2" x14ac:dyDescent="0.25">
      <c r="B268" s="1" t="s">
        <v>112</v>
      </c>
      <c r="C268" s="191">
        <v>3100.09</v>
      </c>
      <c r="E268" s="211">
        <v>0</v>
      </c>
      <c r="F268" s="211">
        <v>0</v>
      </c>
      <c r="G268" s="212">
        <f>+E268*C268</f>
        <v>0</v>
      </c>
      <c r="H268" s="212">
        <f>+F268*C268</f>
        <v>0</v>
      </c>
    </row>
    <row r="269" spans="2:8" hidden="1" outlineLevel="2" x14ac:dyDescent="0.25">
      <c r="B269" s="1" t="s">
        <v>113</v>
      </c>
      <c r="C269" s="191">
        <v>2653.92</v>
      </c>
      <c r="E269" s="211">
        <v>0</v>
      </c>
      <c r="F269" s="211">
        <v>0</v>
      </c>
      <c r="G269" s="212">
        <f>+E269*C269</f>
        <v>0</v>
      </c>
      <c r="H269" s="212">
        <f>+F269*C269</f>
        <v>0</v>
      </c>
    </row>
    <row r="270" spans="2:8" hidden="1" outlineLevel="2" x14ac:dyDescent="0.25">
      <c r="B270" s="1" t="s">
        <v>114</v>
      </c>
      <c r="C270" s="191">
        <v>1452.12</v>
      </c>
      <c r="E270" s="211">
        <v>0</v>
      </c>
      <c r="F270" s="211">
        <v>0</v>
      </c>
      <c r="G270" s="212">
        <f>+E270*C270</f>
        <v>0</v>
      </c>
      <c r="H270" s="212">
        <f>+F270*C270</f>
        <v>0</v>
      </c>
    </row>
    <row r="271" spans="2:8" hidden="1" outlineLevel="2" x14ac:dyDescent="0.25">
      <c r="B271" s="1" t="s">
        <v>115</v>
      </c>
      <c r="C271" s="191">
        <v>2404.85</v>
      </c>
      <c r="E271" s="211">
        <v>0</v>
      </c>
      <c r="F271" s="211">
        <v>0</v>
      </c>
      <c r="G271" s="212">
        <f>+E271*C271</f>
        <v>0</v>
      </c>
      <c r="H271" s="212">
        <f>+F271*C271</f>
        <v>0</v>
      </c>
    </row>
    <row r="272" spans="2:8" hidden="1" outlineLevel="2" x14ac:dyDescent="0.25">
      <c r="B272" s="1" t="s">
        <v>116</v>
      </c>
      <c r="C272" s="191">
        <v>753.2</v>
      </c>
      <c r="E272" s="211">
        <v>0</v>
      </c>
      <c r="F272" s="211">
        <v>0</v>
      </c>
      <c r="G272" s="212">
        <f>+E272*C272</f>
        <v>0</v>
      </c>
      <c r="H272" s="212">
        <f>+F272*C272</f>
        <v>0</v>
      </c>
    </row>
    <row r="273" spans="2:8" hidden="1" outlineLevel="2" x14ac:dyDescent="0.25">
      <c r="B273" s="1" t="s">
        <v>117</v>
      </c>
      <c r="C273" s="191">
        <v>753.2</v>
      </c>
      <c r="E273" s="211">
        <v>0</v>
      </c>
      <c r="F273" s="211">
        <v>0</v>
      </c>
      <c r="G273" s="212">
        <f>+E273*C273</f>
        <v>0</v>
      </c>
      <c r="H273" s="212">
        <f>+F273*C273</f>
        <v>0</v>
      </c>
    </row>
    <row r="274" spans="2:8" hidden="1" outlineLevel="2" x14ac:dyDescent="0.25">
      <c r="B274" s="1" t="s">
        <v>326</v>
      </c>
      <c r="C274" s="191">
        <v>272.37</v>
      </c>
      <c r="E274" s="211">
        <v>0</v>
      </c>
      <c r="F274" s="211">
        <v>0</v>
      </c>
      <c r="G274" s="212">
        <f>+E274*C274</f>
        <v>0</v>
      </c>
      <c r="H274" s="212">
        <f>+F274*C274</f>
        <v>0</v>
      </c>
    </row>
    <row r="275" spans="2:8" hidden="1" outlineLevel="2" x14ac:dyDescent="0.25">
      <c r="B275" s="1" t="s">
        <v>118</v>
      </c>
      <c r="C275" s="191">
        <v>371.75</v>
      </c>
      <c r="E275" s="211">
        <v>0</v>
      </c>
      <c r="F275" s="211">
        <v>0</v>
      </c>
      <c r="G275" s="212">
        <f>+E275*C275</f>
        <v>0</v>
      </c>
      <c r="H275" s="212">
        <f>+F275*C275</f>
        <v>0</v>
      </c>
    </row>
    <row r="276" spans="2:8" hidden="1" outlineLevel="2" x14ac:dyDescent="0.25">
      <c r="B276" s="1" t="s">
        <v>119</v>
      </c>
      <c r="C276" s="191">
        <v>2465.0700000000002</v>
      </c>
      <c r="E276" s="211">
        <v>0</v>
      </c>
      <c r="F276" s="211">
        <v>0</v>
      </c>
      <c r="G276" s="212">
        <f>+E276*C276</f>
        <v>0</v>
      </c>
      <c r="H276" s="212">
        <f>+F276*C276</f>
        <v>0</v>
      </c>
    </row>
    <row r="277" spans="2:8" hidden="1" outlineLevel="2" x14ac:dyDescent="0.25">
      <c r="B277" s="1" t="s">
        <v>120</v>
      </c>
      <c r="C277" s="191">
        <v>582.14</v>
      </c>
      <c r="E277" s="211">
        <v>0</v>
      </c>
      <c r="F277" s="211">
        <v>0</v>
      </c>
      <c r="G277" s="212">
        <f>+E277*C277</f>
        <v>0</v>
      </c>
      <c r="H277" s="212">
        <f>+F277*C277</f>
        <v>0</v>
      </c>
    </row>
    <row r="278" spans="2:8" hidden="1" outlineLevel="2" x14ac:dyDescent="0.25">
      <c r="B278" s="1" t="s">
        <v>121</v>
      </c>
      <c r="C278" s="191">
        <v>574.99</v>
      </c>
      <c r="E278" s="211">
        <v>0</v>
      </c>
      <c r="F278" s="211">
        <v>0</v>
      </c>
      <c r="G278" s="212">
        <f>+E278*C278</f>
        <v>0</v>
      </c>
      <c r="H278" s="212">
        <f>+F278*C278</f>
        <v>0</v>
      </c>
    </row>
    <row r="279" spans="2:8" hidden="1" outlineLevel="2" x14ac:dyDescent="0.25">
      <c r="B279" s="1" t="s">
        <v>122</v>
      </c>
      <c r="C279" s="191">
        <v>1659.62</v>
      </c>
      <c r="E279" s="211">
        <v>0</v>
      </c>
      <c r="F279" s="211">
        <v>0</v>
      </c>
      <c r="G279" s="212">
        <f>+E279*C279</f>
        <v>0</v>
      </c>
      <c r="H279" s="212">
        <f>+F279*C279</f>
        <v>0</v>
      </c>
    </row>
    <row r="280" spans="2:8" hidden="1" outlineLevel="2" x14ac:dyDescent="0.25">
      <c r="B280" s="1" t="s">
        <v>123</v>
      </c>
      <c r="C280" s="191">
        <v>87.1</v>
      </c>
      <c r="E280" s="211">
        <v>0</v>
      </c>
      <c r="F280" s="211">
        <v>0</v>
      </c>
      <c r="G280" s="212">
        <f>+E280*C280</f>
        <v>0</v>
      </c>
      <c r="H280" s="212">
        <f>+F280*C280</f>
        <v>0</v>
      </c>
    </row>
    <row r="281" spans="2:8" hidden="1" outlineLevel="2" x14ac:dyDescent="0.25">
      <c r="B281" s="1" t="s">
        <v>124</v>
      </c>
      <c r="C281" s="191">
        <v>574.99</v>
      </c>
      <c r="E281" s="211">
        <v>0</v>
      </c>
      <c r="F281" s="211">
        <v>0</v>
      </c>
      <c r="G281" s="212">
        <f>+E281*C281</f>
        <v>0</v>
      </c>
      <c r="H281" s="212">
        <f>+F281*C281</f>
        <v>0</v>
      </c>
    </row>
    <row r="282" spans="2:8" hidden="1" outlineLevel="2" x14ac:dyDescent="0.25">
      <c r="B282" s="1" t="s">
        <v>125</v>
      </c>
      <c r="C282" s="191">
        <v>18766.14</v>
      </c>
      <c r="E282" s="211">
        <v>0</v>
      </c>
      <c r="F282" s="211">
        <v>0</v>
      </c>
      <c r="G282" s="212">
        <f>+E282*C282</f>
        <v>0</v>
      </c>
      <c r="H282" s="212">
        <f>+F282*C282</f>
        <v>0</v>
      </c>
    </row>
    <row r="283" spans="2:8" hidden="1" outlineLevel="2" x14ac:dyDescent="0.25">
      <c r="B283" s="1" t="s">
        <v>126</v>
      </c>
      <c r="C283" s="191">
        <v>11214.79</v>
      </c>
      <c r="E283" s="211">
        <v>0</v>
      </c>
      <c r="F283" s="211">
        <v>0</v>
      </c>
      <c r="G283" s="212">
        <f>+E283*C283</f>
        <v>0</v>
      </c>
      <c r="H283" s="212">
        <f>+F283*C283</f>
        <v>0</v>
      </c>
    </row>
    <row r="284" spans="2:8" hidden="1" outlineLevel="2" x14ac:dyDescent="0.25">
      <c r="B284" s="1" t="s">
        <v>127</v>
      </c>
      <c r="C284" s="191">
        <v>5062.1499999999996</v>
      </c>
      <c r="E284" s="211">
        <v>0</v>
      </c>
      <c r="F284" s="211">
        <v>0</v>
      </c>
      <c r="G284" s="212">
        <f>+E284*C284</f>
        <v>0</v>
      </c>
      <c r="H284" s="212">
        <f>+F284*C284</f>
        <v>0</v>
      </c>
    </row>
    <row r="285" spans="2:8" hidden="1" outlineLevel="2" x14ac:dyDescent="0.25">
      <c r="B285" s="1" t="s">
        <v>128</v>
      </c>
      <c r="C285" s="191">
        <v>7598.06</v>
      </c>
      <c r="E285" s="211">
        <v>0</v>
      </c>
      <c r="F285" s="211">
        <v>0</v>
      </c>
      <c r="G285" s="212">
        <f>+E285*C285</f>
        <v>0</v>
      </c>
      <c r="H285" s="212">
        <f>+F285*C285</f>
        <v>0</v>
      </c>
    </row>
    <row r="286" spans="2:8" hidden="1" outlineLevel="2" x14ac:dyDescent="0.25">
      <c r="B286" s="1" t="s">
        <v>129</v>
      </c>
      <c r="C286" s="191">
        <v>14734.01</v>
      </c>
      <c r="E286" s="211">
        <v>0</v>
      </c>
      <c r="F286" s="211">
        <v>0</v>
      </c>
      <c r="G286" s="212">
        <f>+E286*C286</f>
        <v>0</v>
      </c>
      <c r="H286" s="212">
        <f>+F286*C286</f>
        <v>0</v>
      </c>
    </row>
    <row r="287" spans="2:8" hidden="1" outlineLevel="2" x14ac:dyDescent="0.25">
      <c r="B287" s="1" t="s">
        <v>130</v>
      </c>
      <c r="C287" s="191">
        <v>50517.75</v>
      </c>
      <c r="E287" s="211">
        <v>0</v>
      </c>
      <c r="F287" s="211">
        <v>0</v>
      </c>
      <c r="G287" s="212">
        <f>+E287*C287</f>
        <v>0</v>
      </c>
      <c r="H287" s="212">
        <f>+F287*C287</f>
        <v>0</v>
      </c>
    </row>
    <row r="288" spans="2:8" hidden="1" outlineLevel="2" x14ac:dyDescent="0.25">
      <c r="B288" s="1" t="s">
        <v>131</v>
      </c>
      <c r="C288" s="191">
        <v>2501.31</v>
      </c>
      <c r="E288" s="211">
        <v>0</v>
      </c>
      <c r="F288" s="211">
        <v>0</v>
      </c>
      <c r="G288" s="212">
        <f>+E288*C288</f>
        <v>0</v>
      </c>
      <c r="H288" s="212">
        <f>+F288*C288</f>
        <v>0</v>
      </c>
    </row>
    <row r="289" spans="2:8" hidden="1" outlineLevel="2" x14ac:dyDescent="0.25">
      <c r="B289" s="1" t="s">
        <v>132</v>
      </c>
      <c r="C289" s="191">
        <v>13441.06</v>
      </c>
      <c r="E289" s="211">
        <v>0</v>
      </c>
      <c r="F289" s="211">
        <v>0</v>
      </c>
      <c r="G289" s="212">
        <f>+E289*C289</f>
        <v>0</v>
      </c>
      <c r="H289" s="212">
        <f>+F289*C289</f>
        <v>0</v>
      </c>
    </row>
    <row r="290" spans="2:8" hidden="1" outlineLevel="2" x14ac:dyDescent="0.25">
      <c r="B290" s="1" t="s">
        <v>133</v>
      </c>
      <c r="C290" s="191">
        <v>26888.5</v>
      </c>
      <c r="E290" s="211">
        <v>0</v>
      </c>
      <c r="F290" s="211">
        <v>0</v>
      </c>
      <c r="G290" s="212">
        <f>+E290*C290</f>
        <v>0</v>
      </c>
      <c r="H290" s="212">
        <f>+F290*C290</f>
        <v>0</v>
      </c>
    </row>
    <row r="291" spans="2:8" hidden="1" outlineLevel="1" collapsed="1" x14ac:dyDescent="0.25">
      <c r="B291" s="207" t="s">
        <v>136</v>
      </c>
      <c r="C291" s="208">
        <v>167033.85</v>
      </c>
      <c r="E291" s="209"/>
      <c r="F291" s="209"/>
      <c r="G291" s="210"/>
      <c r="H291" s="210"/>
    </row>
    <row r="292" spans="2:8" hidden="1" outlineLevel="2" x14ac:dyDescent="0.25">
      <c r="B292" s="1" t="s">
        <v>137</v>
      </c>
      <c r="C292" s="191">
        <v>0</v>
      </c>
      <c r="E292" s="211">
        <v>0</v>
      </c>
      <c r="F292" s="211">
        <v>0</v>
      </c>
      <c r="G292" s="212">
        <f>+E292*C292</f>
        <v>0</v>
      </c>
      <c r="H292" s="212">
        <f>+F292*C292</f>
        <v>0</v>
      </c>
    </row>
    <row r="293" spans="2:8" hidden="1" outlineLevel="2" x14ac:dyDescent="0.25">
      <c r="B293" s="1" t="s">
        <v>138</v>
      </c>
      <c r="C293" s="191">
        <v>25106.13</v>
      </c>
      <c r="E293" s="211">
        <v>0</v>
      </c>
      <c r="F293" s="211">
        <v>0</v>
      </c>
      <c r="G293" s="212">
        <f>+E293*C293</f>
        <v>0</v>
      </c>
      <c r="H293" s="212">
        <f>+F293*C293</f>
        <v>0</v>
      </c>
    </row>
    <row r="294" spans="2:8" hidden="1" outlineLevel="2" x14ac:dyDescent="0.25">
      <c r="B294" s="1" t="s">
        <v>140</v>
      </c>
      <c r="C294" s="191">
        <v>19843.650000000001</v>
      </c>
      <c r="E294" s="211">
        <v>0</v>
      </c>
      <c r="F294" s="211">
        <v>0</v>
      </c>
      <c r="G294" s="212">
        <f>+E294*C294</f>
        <v>0</v>
      </c>
      <c r="H294" s="212">
        <f>+F294*C294</f>
        <v>0</v>
      </c>
    </row>
    <row r="295" spans="2:8" hidden="1" outlineLevel="2" x14ac:dyDescent="0.25">
      <c r="B295" s="1" t="s">
        <v>141</v>
      </c>
      <c r="C295" s="191">
        <v>2267.86</v>
      </c>
      <c r="E295" s="211">
        <v>0</v>
      </c>
      <c r="F295" s="211">
        <v>0</v>
      </c>
      <c r="G295" s="212">
        <f>+E295*C295</f>
        <v>0</v>
      </c>
      <c r="H295" s="212">
        <f>+F295*C295</f>
        <v>0</v>
      </c>
    </row>
    <row r="296" spans="2:8" hidden="1" outlineLevel="2" x14ac:dyDescent="0.25">
      <c r="B296" s="1" t="s">
        <v>142</v>
      </c>
      <c r="C296" s="191">
        <v>3146.27</v>
      </c>
      <c r="E296" s="211">
        <v>0</v>
      </c>
      <c r="F296" s="211">
        <v>0</v>
      </c>
      <c r="G296" s="212">
        <f>+E296*C296</f>
        <v>0</v>
      </c>
      <c r="H296" s="212">
        <f>+F296*C296</f>
        <v>0</v>
      </c>
    </row>
    <row r="297" spans="2:8" hidden="1" outlineLevel="2" x14ac:dyDescent="0.25">
      <c r="B297" s="1" t="s">
        <v>143</v>
      </c>
      <c r="C297" s="191">
        <v>6981.21</v>
      </c>
      <c r="E297" s="211">
        <v>0</v>
      </c>
      <c r="F297" s="211">
        <v>0</v>
      </c>
      <c r="G297" s="212">
        <f>+E297*C297</f>
        <v>0</v>
      </c>
      <c r="H297" s="212">
        <f>+F297*C297</f>
        <v>0</v>
      </c>
    </row>
    <row r="298" spans="2:8" hidden="1" outlineLevel="2" x14ac:dyDescent="0.25">
      <c r="B298" s="1" t="s">
        <v>146</v>
      </c>
      <c r="C298" s="191">
        <v>21736.69</v>
      </c>
      <c r="E298" s="211">
        <v>0</v>
      </c>
      <c r="F298" s="211">
        <v>0</v>
      </c>
      <c r="G298" s="212">
        <f>+E298*C298</f>
        <v>0</v>
      </c>
      <c r="H298" s="212">
        <f>+F298*C298</f>
        <v>0</v>
      </c>
    </row>
    <row r="299" spans="2:8" hidden="1" outlineLevel="2" x14ac:dyDescent="0.25">
      <c r="B299" s="1" t="s">
        <v>147</v>
      </c>
      <c r="C299" s="191">
        <v>6832.58</v>
      </c>
      <c r="E299" s="211">
        <v>0</v>
      </c>
      <c r="F299" s="211">
        <v>0</v>
      </c>
      <c r="G299" s="212">
        <f>+E299*C299</f>
        <v>0</v>
      </c>
      <c r="H299" s="212">
        <f>+F299*C299</f>
        <v>0</v>
      </c>
    </row>
    <row r="300" spans="2:8" hidden="1" outlineLevel="2" x14ac:dyDescent="0.25">
      <c r="B300" s="1" t="s">
        <v>148</v>
      </c>
      <c r="C300" s="191">
        <v>7108.11</v>
      </c>
      <c r="E300" s="211">
        <v>0</v>
      </c>
      <c r="F300" s="211">
        <v>0</v>
      </c>
      <c r="G300" s="212">
        <f>+E300*C300</f>
        <v>0</v>
      </c>
      <c r="H300" s="212">
        <f>+F300*C300</f>
        <v>0</v>
      </c>
    </row>
    <row r="301" spans="2:8" hidden="1" outlineLevel="2" x14ac:dyDescent="0.25">
      <c r="B301" s="1" t="s">
        <v>149</v>
      </c>
      <c r="C301" s="191">
        <v>18986.43</v>
      </c>
      <c r="E301" s="211">
        <v>0</v>
      </c>
      <c r="F301" s="211">
        <v>0</v>
      </c>
      <c r="G301" s="212">
        <f>+E301*C301</f>
        <v>0</v>
      </c>
      <c r="H301" s="212">
        <f>+F301*C301</f>
        <v>0</v>
      </c>
    </row>
    <row r="302" spans="2:8" hidden="1" outlineLevel="2" x14ac:dyDescent="0.25">
      <c r="B302" s="1" t="s">
        <v>150</v>
      </c>
      <c r="C302" s="191">
        <v>52446.46</v>
      </c>
      <c r="E302" s="211">
        <v>0</v>
      </c>
      <c r="F302" s="211">
        <v>0</v>
      </c>
      <c r="G302" s="212">
        <f>+E302*C302</f>
        <v>0</v>
      </c>
      <c r="H302" s="212">
        <f>+F302*C302</f>
        <v>0</v>
      </c>
    </row>
    <row r="303" spans="2:8" hidden="1" outlineLevel="2" x14ac:dyDescent="0.25">
      <c r="B303" s="1" t="s">
        <v>327</v>
      </c>
      <c r="C303" s="191">
        <v>1637.54</v>
      </c>
      <c r="E303" s="211">
        <v>0</v>
      </c>
      <c r="F303" s="211">
        <v>0</v>
      </c>
      <c r="G303" s="212">
        <f>+E303*C303</f>
        <v>0</v>
      </c>
      <c r="H303" s="212">
        <f>+F303*C303</f>
        <v>0</v>
      </c>
    </row>
    <row r="304" spans="2:8" hidden="1" outlineLevel="2" x14ac:dyDescent="0.25">
      <c r="B304" s="1" t="s">
        <v>116</v>
      </c>
      <c r="C304" s="191">
        <v>470.46</v>
      </c>
      <c r="E304" s="211">
        <v>0</v>
      </c>
      <c r="F304" s="211">
        <v>0</v>
      </c>
      <c r="G304" s="212">
        <f>+E304*C304</f>
        <v>0</v>
      </c>
      <c r="H304" s="212">
        <f>+F304*C304</f>
        <v>0</v>
      </c>
    </row>
    <row r="305" spans="2:8" hidden="1" outlineLevel="2" x14ac:dyDescent="0.25">
      <c r="B305" s="1" t="s">
        <v>117</v>
      </c>
      <c r="C305" s="191">
        <v>470.46</v>
      </c>
      <c r="E305" s="211">
        <v>0</v>
      </c>
      <c r="F305" s="211">
        <v>0</v>
      </c>
      <c r="G305" s="212">
        <f>+E305*C305</f>
        <v>0</v>
      </c>
      <c r="H305" s="212">
        <f>+F305*C305</f>
        <v>0</v>
      </c>
    </row>
    <row r="306" spans="2:8" hidden="1" outlineLevel="1" collapsed="1" x14ac:dyDescent="0.25">
      <c r="B306" s="207" t="s">
        <v>151</v>
      </c>
      <c r="C306" s="208">
        <v>26683.07</v>
      </c>
      <c r="E306" s="209"/>
      <c r="F306" s="209"/>
      <c r="G306" s="210"/>
      <c r="H306" s="210"/>
    </row>
    <row r="307" spans="2:8" hidden="1" outlineLevel="2" x14ac:dyDescent="0.25">
      <c r="B307" s="1" t="s">
        <v>152</v>
      </c>
      <c r="C307" s="191">
        <v>26683.07</v>
      </c>
      <c r="E307" s="211">
        <v>0</v>
      </c>
      <c r="F307" s="211">
        <v>0</v>
      </c>
      <c r="G307" s="212">
        <f>+E307*C307</f>
        <v>0</v>
      </c>
      <c r="H307" s="212">
        <f>+F307*C307</f>
        <v>0</v>
      </c>
    </row>
    <row r="308" spans="2:8" hidden="1" outlineLevel="1" collapsed="1" x14ac:dyDescent="0.25">
      <c r="B308" s="207" t="s">
        <v>153</v>
      </c>
      <c r="C308" s="208">
        <v>203007.14</v>
      </c>
      <c r="E308" s="209"/>
      <c r="F308" s="209"/>
      <c r="G308" s="210"/>
      <c r="H308" s="210"/>
    </row>
    <row r="309" spans="2:8" hidden="1" outlineLevel="2" x14ac:dyDescent="0.25">
      <c r="B309" s="1" t="s">
        <v>328</v>
      </c>
      <c r="C309" s="191">
        <v>12050.32</v>
      </c>
      <c r="E309" s="211">
        <v>0</v>
      </c>
      <c r="F309" s="211">
        <v>0</v>
      </c>
      <c r="G309" s="212">
        <f>+E309*C309</f>
        <v>0</v>
      </c>
      <c r="H309" s="212">
        <f>+F309*C309</f>
        <v>0</v>
      </c>
    </row>
    <row r="310" spans="2:8" hidden="1" outlineLevel="2" x14ac:dyDescent="0.25">
      <c r="B310" s="1" t="s">
        <v>329</v>
      </c>
      <c r="C310" s="191">
        <v>7601.03</v>
      </c>
      <c r="E310" s="211">
        <v>0</v>
      </c>
      <c r="F310" s="211">
        <v>0</v>
      </c>
      <c r="G310" s="212">
        <f>+E310*C310</f>
        <v>0</v>
      </c>
      <c r="H310" s="212">
        <f>+F310*C310</f>
        <v>0</v>
      </c>
    </row>
    <row r="311" spans="2:8" hidden="1" outlineLevel="2" x14ac:dyDescent="0.25">
      <c r="B311" s="1" t="s">
        <v>164</v>
      </c>
      <c r="C311" s="191">
        <v>975.71</v>
      </c>
      <c r="E311" s="211">
        <v>0</v>
      </c>
      <c r="F311" s="211">
        <v>0</v>
      </c>
      <c r="G311" s="212">
        <f>+E311*C311</f>
        <v>0</v>
      </c>
      <c r="H311" s="212">
        <f>+F311*C311</f>
        <v>0</v>
      </c>
    </row>
    <row r="312" spans="2:8" hidden="1" outlineLevel="2" x14ac:dyDescent="0.25">
      <c r="B312" s="1" t="s">
        <v>330</v>
      </c>
      <c r="C312" s="191">
        <v>1982.23</v>
      </c>
      <c r="E312" s="211">
        <v>0</v>
      </c>
      <c r="F312" s="211">
        <v>0</v>
      </c>
      <c r="G312" s="212">
        <f>+E312*C312</f>
        <v>0</v>
      </c>
      <c r="H312" s="212">
        <f>+F312*C312</f>
        <v>0</v>
      </c>
    </row>
    <row r="313" spans="2:8" hidden="1" outlineLevel="2" x14ac:dyDescent="0.25">
      <c r="B313" s="1" t="s">
        <v>162</v>
      </c>
      <c r="C313" s="191">
        <v>1165.56</v>
      </c>
      <c r="E313" s="211">
        <v>0</v>
      </c>
      <c r="F313" s="211">
        <v>0</v>
      </c>
      <c r="G313" s="212">
        <f>+E313*C313</f>
        <v>0</v>
      </c>
      <c r="H313" s="212">
        <f>+F313*C313</f>
        <v>0</v>
      </c>
    </row>
    <row r="314" spans="2:8" hidden="1" outlineLevel="2" x14ac:dyDescent="0.25">
      <c r="B314" s="1" t="s">
        <v>163</v>
      </c>
      <c r="C314" s="191">
        <v>11155.31</v>
      </c>
      <c r="E314" s="211">
        <v>0</v>
      </c>
      <c r="F314" s="211">
        <v>0</v>
      </c>
      <c r="G314" s="212">
        <f>+E314*C314</f>
        <v>0</v>
      </c>
      <c r="H314" s="212">
        <f>+F314*C314</f>
        <v>0</v>
      </c>
    </row>
    <row r="315" spans="2:8" hidden="1" outlineLevel="2" x14ac:dyDescent="0.25">
      <c r="B315" s="1" t="s">
        <v>331</v>
      </c>
      <c r="C315" s="191">
        <v>8306.69</v>
      </c>
      <c r="E315" s="211">
        <v>0</v>
      </c>
      <c r="F315" s="211">
        <v>0</v>
      </c>
      <c r="G315" s="212">
        <f>+E315*C315</f>
        <v>0</v>
      </c>
      <c r="H315" s="212">
        <f>+F315*C315</f>
        <v>0</v>
      </c>
    </row>
    <row r="316" spans="2:8" hidden="1" outlineLevel="2" x14ac:dyDescent="0.25">
      <c r="B316" s="1" t="s">
        <v>332</v>
      </c>
      <c r="C316" s="191">
        <v>1060.23</v>
      </c>
      <c r="E316" s="211">
        <v>0</v>
      </c>
      <c r="F316" s="211">
        <v>0</v>
      </c>
      <c r="G316" s="212">
        <f>+E316*C316</f>
        <v>0</v>
      </c>
      <c r="H316" s="212">
        <f>+F316*C316</f>
        <v>0</v>
      </c>
    </row>
    <row r="317" spans="2:8" hidden="1" outlineLevel="2" x14ac:dyDescent="0.25">
      <c r="B317" s="1" t="s">
        <v>333</v>
      </c>
      <c r="C317" s="191">
        <v>22015.54</v>
      </c>
      <c r="E317" s="211">
        <v>0</v>
      </c>
      <c r="F317" s="211">
        <v>0</v>
      </c>
      <c r="G317" s="212">
        <f>+E317*C317</f>
        <v>0</v>
      </c>
      <c r="H317" s="212">
        <f>+F317*C317</f>
        <v>0</v>
      </c>
    </row>
    <row r="318" spans="2:8" hidden="1" outlineLevel="2" x14ac:dyDescent="0.25">
      <c r="B318" s="1" t="s">
        <v>334</v>
      </c>
      <c r="C318" s="191">
        <v>2269.54</v>
      </c>
      <c r="E318" s="211">
        <v>0</v>
      </c>
      <c r="F318" s="211">
        <v>0</v>
      </c>
      <c r="G318" s="212">
        <f>+E318*C318</f>
        <v>0</v>
      </c>
      <c r="H318" s="212">
        <f>+F318*C318</f>
        <v>0</v>
      </c>
    </row>
    <row r="319" spans="2:8" hidden="1" outlineLevel="2" x14ac:dyDescent="0.25">
      <c r="B319" s="1" t="s">
        <v>335</v>
      </c>
      <c r="C319" s="191">
        <v>1319.5</v>
      </c>
      <c r="E319" s="211">
        <v>0</v>
      </c>
      <c r="F319" s="211">
        <v>0</v>
      </c>
      <c r="G319" s="212">
        <f>+E319*C319</f>
        <v>0</v>
      </c>
      <c r="H319" s="212">
        <f>+F319*C319</f>
        <v>0</v>
      </c>
    </row>
    <row r="320" spans="2:8" hidden="1" outlineLevel="2" x14ac:dyDescent="0.25">
      <c r="B320" s="1" t="s">
        <v>165</v>
      </c>
      <c r="C320" s="191">
        <v>3628.43</v>
      </c>
      <c r="E320" s="211">
        <v>0</v>
      </c>
      <c r="F320" s="211">
        <v>0</v>
      </c>
      <c r="G320" s="212">
        <f>+E320*C320</f>
        <v>0</v>
      </c>
      <c r="H320" s="212">
        <f>+F320*C320</f>
        <v>0</v>
      </c>
    </row>
    <row r="321" spans="2:8" hidden="1" outlineLevel="2" x14ac:dyDescent="0.25">
      <c r="B321" s="1" t="s">
        <v>336</v>
      </c>
      <c r="C321" s="191">
        <v>1314.66</v>
      </c>
      <c r="E321" s="211">
        <v>0</v>
      </c>
      <c r="F321" s="211">
        <v>0</v>
      </c>
      <c r="G321" s="212">
        <f>+E321*C321</f>
        <v>0</v>
      </c>
      <c r="H321" s="212">
        <f>+F321*C321</f>
        <v>0</v>
      </c>
    </row>
    <row r="322" spans="2:8" hidden="1" outlineLevel="2" x14ac:dyDescent="0.25">
      <c r="B322" s="1" t="s">
        <v>337</v>
      </c>
      <c r="C322" s="191">
        <v>20441.740000000002</v>
      </c>
      <c r="E322" s="211">
        <v>0</v>
      </c>
      <c r="F322" s="211">
        <v>0</v>
      </c>
      <c r="G322" s="212">
        <f>+E322*C322</f>
        <v>0</v>
      </c>
      <c r="H322" s="212">
        <f>+F322*C322</f>
        <v>0</v>
      </c>
    </row>
    <row r="323" spans="2:8" hidden="1" outlineLevel="2" x14ac:dyDescent="0.25">
      <c r="B323" s="1" t="s">
        <v>167</v>
      </c>
      <c r="C323" s="191">
        <v>57407.360000000001</v>
      </c>
      <c r="E323" s="211">
        <v>0</v>
      </c>
      <c r="F323" s="211">
        <v>0</v>
      </c>
      <c r="G323" s="212">
        <f>+E323*C323</f>
        <v>0</v>
      </c>
      <c r="H323" s="212">
        <f>+F323*C323</f>
        <v>0</v>
      </c>
    </row>
    <row r="324" spans="2:8" hidden="1" outlineLevel="2" x14ac:dyDescent="0.25">
      <c r="B324" s="1" t="s">
        <v>131</v>
      </c>
      <c r="C324" s="191">
        <v>2378.69</v>
      </c>
      <c r="E324" s="211">
        <v>0</v>
      </c>
      <c r="F324" s="211">
        <v>0</v>
      </c>
      <c r="G324" s="212">
        <f>+E324*C324</f>
        <v>0</v>
      </c>
      <c r="H324" s="212">
        <f>+F324*C324</f>
        <v>0</v>
      </c>
    </row>
    <row r="325" spans="2:8" hidden="1" outlineLevel="2" x14ac:dyDescent="0.25">
      <c r="B325" s="1" t="s">
        <v>166</v>
      </c>
      <c r="C325" s="191">
        <v>33366.230000000003</v>
      </c>
      <c r="E325" s="211">
        <v>0</v>
      </c>
      <c r="F325" s="211">
        <v>0</v>
      </c>
      <c r="G325" s="212">
        <f>+E325*C325</f>
        <v>0</v>
      </c>
      <c r="H325" s="212">
        <f>+F325*C325</f>
        <v>0</v>
      </c>
    </row>
    <row r="326" spans="2:8" hidden="1" outlineLevel="2" x14ac:dyDescent="0.25">
      <c r="B326" s="1" t="s">
        <v>168</v>
      </c>
      <c r="C326" s="191">
        <v>4977.22</v>
      </c>
      <c r="E326" s="211">
        <v>0</v>
      </c>
      <c r="F326" s="211">
        <v>0</v>
      </c>
      <c r="G326" s="212">
        <f>+E326*C326</f>
        <v>0</v>
      </c>
      <c r="H326" s="212">
        <f>+F326*C326</f>
        <v>0</v>
      </c>
    </row>
    <row r="327" spans="2:8" hidden="1" outlineLevel="2" x14ac:dyDescent="0.25">
      <c r="B327" s="1" t="s">
        <v>169</v>
      </c>
      <c r="C327" s="191">
        <v>5312.02</v>
      </c>
      <c r="E327" s="211">
        <v>0</v>
      </c>
      <c r="F327" s="211">
        <v>0</v>
      </c>
      <c r="G327" s="212">
        <f>+E327*C327</f>
        <v>0</v>
      </c>
      <c r="H327" s="212">
        <f>+F327*C327</f>
        <v>0</v>
      </c>
    </row>
    <row r="328" spans="2:8" hidden="1" outlineLevel="2" x14ac:dyDescent="0.25">
      <c r="B328" s="1" t="s">
        <v>338</v>
      </c>
      <c r="C328" s="191">
        <v>717.18</v>
      </c>
      <c r="E328" s="211">
        <v>0</v>
      </c>
      <c r="F328" s="211">
        <v>0</v>
      </c>
      <c r="G328" s="212">
        <f>+E328*C328</f>
        <v>0</v>
      </c>
      <c r="H328" s="212">
        <f>+F328*C328</f>
        <v>0</v>
      </c>
    </row>
    <row r="329" spans="2:8" hidden="1" outlineLevel="2" x14ac:dyDescent="0.25">
      <c r="B329" s="1" t="s">
        <v>339</v>
      </c>
      <c r="C329" s="191">
        <v>1532.33</v>
      </c>
      <c r="E329" s="211">
        <v>0</v>
      </c>
      <c r="F329" s="211">
        <v>0</v>
      </c>
      <c r="G329" s="212">
        <f>+E329*C329</f>
        <v>0</v>
      </c>
      <c r="H329" s="212">
        <f>+F329*C329</f>
        <v>0</v>
      </c>
    </row>
    <row r="330" spans="2:8" hidden="1" outlineLevel="2" x14ac:dyDescent="0.25">
      <c r="B330" s="1" t="s">
        <v>121</v>
      </c>
      <c r="C330" s="191">
        <v>574.99</v>
      </c>
      <c r="E330" s="211">
        <v>0</v>
      </c>
      <c r="F330" s="211">
        <v>0</v>
      </c>
      <c r="G330" s="212">
        <f>+E330*C330</f>
        <v>0</v>
      </c>
      <c r="H330" s="212">
        <f>+F330*C330</f>
        <v>0</v>
      </c>
    </row>
    <row r="331" spans="2:8" hidden="1" outlineLevel="2" x14ac:dyDescent="0.25">
      <c r="B331" s="1" t="s">
        <v>340</v>
      </c>
      <c r="C331" s="191">
        <v>402.9</v>
      </c>
      <c r="E331" s="211">
        <v>0</v>
      </c>
      <c r="F331" s="211">
        <v>0</v>
      </c>
      <c r="G331" s="212">
        <f>+E331*C331</f>
        <v>0</v>
      </c>
      <c r="H331" s="212">
        <f>+F331*C331</f>
        <v>0</v>
      </c>
    </row>
    <row r="332" spans="2:8" hidden="1" outlineLevel="2" x14ac:dyDescent="0.25">
      <c r="B332" s="1" t="s">
        <v>341</v>
      </c>
      <c r="C332" s="191">
        <v>476.74</v>
      </c>
      <c r="E332" s="211">
        <v>0</v>
      </c>
      <c r="F332" s="211">
        <v>0</v>
      </c>
      <c r="G332" s="212">
        <f>+E332*C332</f>
        <v>0</v>
      </c>
      <c r="H332" s="212">
        <f>+F332*C332</f>
        <v>0</v>
      </c>
    </row>
    <row r="333" spans="2:8" hidden="1" outlineLevel="2" x14ac:dyDescent="0.25">
      <c r="B333" s="1" t="s">
        <v>124</v>
      </c>
      <c r="C333" s="191">
        <v>574.99</v>
      </c>
      <c r="E333" s="211">
        <v>0</v>
      </c>
      <c r="F333" s="211">
        <v>0</v>
      </c>
      <c r="G333" s="212">
        <f>+E333*C333</f>
        <v>0</v>
      </c>
      <c r="H333" s="212">
        <f>+F333*C333</f>
        <v>0</v>
      </c>
    </row>
    <row r="334" spans="2:8" hidden="1" outlineLevel="1" collapsed="1" x14ac:dyDescent="0.25">
      <c r="B334" s="207" t="s">
        <v>174</v>
      </c>
      <c r="C334" s="208">
        <v>226919.92</v>
      </c>
      <c r="E334" s="209"/>
      <c r="F334" s="209"/>
      <c r="G334" s="210"/>
      <c r="H334" s="210"/>
    </row>
    <row r="335" spans="2:8" hidden="1" outlineLevel="2" x14ac:dyDescent="0.25">
      <c r="B335" s="1" t="s">
        <v>175</v>
      </c>
      <c r="C335" s="191">
        <v>0</v>
      </c>
      <c r="E335" s="211">
        <v>0</v>
      </c>
      <c r="F335" s="211">
        <v>0</v>
      </c>
      <c r="G335" s="212">
        <f>+E335*C335</f>
        <v>0</v>
      </c>
      <c r="H335" s="212">
        <f>+F335*C335</f>
        <v>0</v>
      </c>
    </row>
    <row r="336" spans="2:8" hidden="1" outlineLevel="2" x14ac:dyDescent="0.25">
      <c r="B336" s="1" t="s">
        <v>138</v>
      </c>
      <c r="C336" s="191">
        <v>28730.91</v>
      </c>
      <c r="E336" s="211">
        <v>0</v>
      </c>
      <c r="F336" s="211">
        <v>0</v>
      </c>
      <c r="G336" s="212">
        <f>+E336*C336</f>
        <v>0</v>
      </c>
      <c r="H336" s="212">
        <f>+F336*C336</f>
        <v>0</v>
      </c>
    </row>
    <row r="337" spans="2:8" hidden="1" outlineLevel="2" x14ac:dyDescent="0.25">
      <c r="B337" s="1" t="s">
        <v>139</v>
      </c>
      <c r="C337" s="191">
        <v>13836.35</v>
      </c>
      <c r="E337" s="211">
        <v>0</v>
      </c>
      <c r="F337" s="211">
        <v>0</v>
      </c>
      <c r="G337" s="212">
        <f>+E337*C337</f>
        <v>0</v>
      </c>
      <c r="H337" s="212">
        <f>+F337*C337</f>
        <v>0</v>
      </c>
    </row>
    <row r="338" spans="2:8" hidden="1" outlineLevel="2" x14ac:dyDescent="0.25">
      <c r="B338" s="1" t="s">
        <v>141</v>
      </c>
      <c r="C338" s="191">
        <v>4849.9399999999996</v>
      </c>
      <c r="E338" s="211">
        <v>0</v>
      </c>
      <c r="F338" s="211">
        <v>0</v>
      </c>
      <c r="G338" s="212">
        <f>+E338*C338</f>
        <v>0</v>
      </c>
      <c r="H338" s="212">
        <f>+F338*C338</f>
        <v>0</v>
      </c>
    </row>
    <row r="339" spans="2:8" hidden="1" outlineLevel="2" x14ac:dyDescent="0.25">
      <c r="B339" s="1" t="s">
        <v>142</v>
      </c>
      <c r="C339" s="191">
        <v>7235.14</v>
      </c>
      <c r="E339" s="211">
        <v>0</v>
      </c>
      <c r="F339" s="211">
        <v>0</v>
      </c>
      <c r="G339" s="212">
        <f>+E339*C339</f>
        <v>0</v>
      </c>
      <c r="H339" s="212">
        <f>+F339*C339</f>
        <v>0</v>
      </c>
    </row>
    <row r="340" spans="2:8" hidden="1" outlineLevel="2" x14ac:dyDescent="0.25">
      <c r="B340" s="1" t="s">
        <v>342</v>
      </c>
      <c r="C340" s="191">
        <v>3264.93</v>
      </c>
      <c r="E340" s="211">
        <v>0</v>
      </c>
      <c r="F340" s="211">
        <v>0</v>
      </c>
      <c r="G340" s="212">
        <f>+E340*C340</f>
        <v>0</v>
      </c>
      <c r="H340" s="212">
        <f>+F340*C340</f>
        <v>0</v>
      </c>
    </row>
    <row r="341" spans="2:8" hidden="1" outlineLevel="2" x14ac:dyDescent="0.25">
      <c r="B341" s="1" t="s">
        <v>343</v>
      </c>
      <c r="C341" s="191">
        <v>14238.46</v>
      </c>
      <c r="E341" s="211">
        <v>0</v>
      </c>
      <c r="F341" s="211">
        <v>0</v>
      </c>
      <c r="G341" s="212">
        <f>+E341*C341</f>
        <v>0</v>
      </c>
      <c r="H341" s="212">
        <f>+F341*C341</f>
        <v>0</v>
      </c>
    </row>
    <row r="342" spans="2:8" hidden="1" outlineLevel="2" x14ac:dyDescent="0.25">
      <c r="B342" s="1" t="s">
        <v>146</v>
      </c>
      <c r="C342" s="191">
        <v>25086.720000000001</v>
      </c>
      <c r="E342" s="211">
        <v>0</v>
      </c>
      <c r="F342" s="211">
        <v>0</v>
      </c>
      <c r="G342" s="212">
        <f>+E342*C342</f>
        <v>0</v>
      </c>
      <c r="H342" s="212">
        <f>+F342*C342</f>
        <v>0</v>
      </c>
    </row>
    <row r="343" spans="2:8" hidden="1" outlineLevel="2" x14ac:dyDescent="0.25">
      <c r="B343" s="1" t="s">
        <v>147</v>
      </c>
      <c r="C343" s="191">
        <v>18304.060000000001</v>
      </c>
      <c r="E343" s="211">
        <v>0</v>
      </c>
      <c r="F343" s="211">
        <v>0</v>
      </c>
      <c r="G343" s="212">
        <f>+E343*C343</f>
        <v>0</v>
      </c>
      <c r="H343" s="212">
        <f>+F343*C343</f>
        <v>0</v>
      </c>
    </row>
    <row r="344" spans="2:8" hidden="1" outlineLevel="2" x14ac:dyDescent="0.25">
      <c r="B344" s="1" t="s">
        <v>148</v>
      </c>
      <c r="C344" s="191">
        <v>20409.62</v>
      </c>
      <c r="E344" s="211">
        <v>0</v>
      </c>
      <c r="F344" s="211">
        <v>0</v>
      </c>
      <c r="G344" s="212">
        <f>+E344*C344</f>
        <v>0</v>
      </c>
      <c r="H344" s="212">
        <f>+F344*C344</f>
        <v>0</v>
      </c>
    </row>
    <row r="345" spans="2:8" hidden="1" outlineLevel="2" x14ac:dyDescent="0.25">
      <c r="B345" s="1" t="s">
        <v>149</v>
      </c>
      <c r="C345" s="191">
        <v>38435.51</v>
      </c>
      <c r="E345" s="211">
        <v>0</v>
      </c>
      <c r="F345" s="211">
        <v>0</v>
      </c>
      <c r="G345" s="212">
        <f>+E345*C345</f>
        <v>0</v>
      </c>
      <c r="H345" s="212">
        <f>+F345*C345</f>
        <v>0</v>
      </c>
    </row>
    <row r="346" spans="2:8" hidden="1" outlineLevel="2" x14ac:dyDescent="0.25">
      <c r="B346" s="1" t="s">
        <v>176</v>
      </c>
      <c r="C346" s="191">
        <v>51569.72</v>
      </c>
      <c r="E346" s="211">
        <v>0</v>
      </c>
      <c r="F346" s="211">
        <v>0</v>
      </c>
      <c r="G346" s="212">
        <f>+E346*C346</f>
        <v>0</v>
      </c>
      <c r="H346" s="212">
        <f>+F346*C346</f>
        <v>0</v>
      </c>
    </row>
    <row r="347" spans="2:8" hidden="1" outlineLevel="2" x14ac:dyDescent="0.25">
      <c r="B347" s="1" t="s">
        <v>344</v>
      </c>
      <c r="C347" s="191">
        <v>958.56</v>
      </c>
      <c r="E347" s="211">
        <v>0</v>
      </c>
      <c r="F347" s="211">
        <v>0</v>
      </c>
      <c r="G347" s="212">
        <f>+E347*C347</f>
        <v>0</v>
      </c>
      <c r="H347" s="212">
        <f>+F347*C347</f>
        <v>0</v>
      </c>
    </row>
    <row r="348" spans="2:8" hidden="1" outlineLevel="1" collapsed="1" x14ac:dyDescent="0.25">
      <c r="B348" s="207" t="s">
        <v>177</v>
      </c>
      <c r="C348" s="208">
        <v>126484.85</v>
      </c>
      <c r="E348" s="209"/>
      <c r="F348" s="209"/>
      <c r="G348" s="210"/>
      <c r="H348" s="210"/>
    </row>
    <row r="349" spans="2:8" hidden="1" outlineLevel="2" x14ac:dyDescent="0.25">
      <c r="B349" s="1" t="s">
        <v>178</v>
      </c>
      <c r="C349" s="191">
        <v>7848.02</v>
      </c>
      <c r="E349" s="211">
        <v>0</v>
      </c>
      <c r="F349" s="211">
        <v>0</v>
      </c>
      <c r="G349" s="212">
        <f>+E349*C349</f>
        <v>0</v>
      </c>
      <c r="H349" s="212">
        <f>+F349*C349</f>
        <v>0</v>
      </c>
    </row>
    <row r="350" spans="2:8" hidden="1" outlineLevel="2" x14ac:dyDescent="0.25">
      <c r="B350" s="1" t="s">
        <v>345</v>
      </c>
      <c r="C350" s="191">
        <v>9347.3799999999992</v>
      </c>
      <c r="E350" s="211">
        <v>0</v>
      </c>
      <c r="F350" s="211">
        <v>0</v>
      </c>
      <c r="G350" s="212">
        <f>+E350*C350</f>
        <v>0</v>
      </c>
      <c r="H350" s="212">
        <f>+F350*C350</f>
        <v>0</v>
      </c>
    </row>
    <row r="351" spans="2:8" hidden="1" outlineLevel="2" x14ac:dyDescent="0.25">
      <c r="B351" s="1" t="s">
        <v>346</v>
      </c>
      <c r="C351" s="191">
        <v>2564.4</v>
      </c>
      <c r="E351" s="211">
        <v>0</v>
      </c>
      <c r="F351" s="211">
        <v>0</v>
      </c>
      <c r="G351" s="212">
        <f>+E351*C351</f>
        <v>0</v>
      </c>
      <c r="H351" s="212">
        <f>+F351*C351</f>
        <v>0</v>
      </c>
    </row>
    <row r="352" spans="2:8" hidden="1" outlineLevel="2" x14ac:dyDescent="0.25">
      <c r="B352" s="1" t="s">
        <v>347</v>
      </c>
      <c r="C352" s="191">
        <v>1710.04</v>
      </c>
      <c r="E352" s="211">
        <v>0</v>
      </c>
      <c r="F352" s="211">
        <v>0</v>
      </c>
      <c r="G352" s="212">
        <f>+E352*C352</f>
        <v>0</v>
      </c>
      <c r="H352" s="212">
        <f>+F352*C352</f>
        <v>0</v>
      </c>
    </row>
    <row r="353" spans="2:8" hidden="1" outlineLevel="2" x14ac:dyDescent="0.25">
      <c r="B353" s="1" t="s">
        <v>348</v>
      </c>
      <c r="C353" s="191">
        <v>872.84</v>
      </c>
      <c r="E353" s="211">
        <v>0</v>
      </c>
      <c r="F353" s="211">
        <v>0</v>
      </c>
      <c r="G353" s="212">
        <f>+E353*C353</f>
        <v>0</v>
      </c>
      <c r="H353" s="212">
        <f>+F353*C353</f>
        <v>0</v>
      </c>
    </row>
    <row r="354" spans="2:8" hidden="1" outlineLevel="2" x14ac:dyDescent="0.25">
      <c r="B354" s="1" t="s">
        <v>349</v>
      </c>
      <c r="C354" s="191">
        <v>463.16</v>
      </c>
      <c r="E354" s="211">
        <v>0</v>
      </c>
      <c r="F354" s="211">
        <v>0</v>
      </c>
      <c r="G354" s="212">
        <f>+E354*C354</f>
        <v>0</v>
      </c>
      <c r="H354" s="212">
        <f>+F354*C354</f>
        <v>0</v>
      </c>
    </row>
    <row r="355" spans="2:8" hidden="1" outlineLevel="2" x14ac:dyDescent="0.25">
      <c r="B355" s="1" t="s">
        <v>350</v>
      </c>
      <c r="C355" s="191">
        <v>1923.92</v>
      </c>
      <c r="E355" s="211">
        <v>0</v>
      </c>
      <c r="F355" s="211">
        <v>0</v>
      </c>
      <c r="G355" s="212">
        <f>+E355*C355</f>
        <v>0</v>
      </c>
      <c r="H355" s="212">
        <f>+F355*C355</f>
        <v>0</v>
      </c>
    </row>
    <row r="356" spans="2:8" hidden="1" outlineLevel="2" x14ac:dyDescent="0.25">
      <c r="B356" s="1" t="s">
        <v>351</v>
      </c>
      <c r="C356" s="191">
        <v>1683.57</v>
      </c>
      <c r="E356" s="211">
        <v>0</v>
      </c>
      <c r="F356" s="211">
        <v>0</v>
      </c>
      <c r="G356" s="212">
        <f>+E356*C356</f>
        <v>0</v>
      </c>
      <c r="H356" s="212">
        <f>+F356*C356</f>
        <v>0</v>
      </c>
    </row>
    <row r="357" spans="2:8" hidden="1" outlineLevel="2" x14ac:dyDescent="0.25">
      <c r="B357" s="1" t="s">
        <v>181</v>
      </c>
      <c r="C357" s="191">
        <v>3634.5</v>
      </c>
      <c r="E357" s="211">
        <v>0</v>
      </c>
      <c r="F357" s="211">
        <v>0</v>
      </c>
      <c r="G357" s="212">
        <f>+E357*C357</f>
        <v>0</v>
      </c>
      <c r="H357" s="212">
        <f>+F357*C357</f>
        <v>0</v>
      </c>
    </row>
    <row r="358" spans="2:8" hidden="1" outlineLevel="2" x14ac:dyDescent="0.25">
      <c r="B358" s="1" t="s">
        <v>352</v>
      </c>
      <c r="C358" s="191">
        <v>4115.76</v>
      </c>
      <c r="E358" s="211">
        <v>0</v>
      </c>
      <c r="F358" s="211">
        <v>0</v>
      </c>
      <c r="G358" s="212">
        <f>+E358*C358</f>
        <v>0</v>
      </c>
      <c r="H358" s="212">
        <f>+F358*C358</f>
        <v>0</v>
      </c>
    </row>
    <row r="359" spans="2:8" hidden="1" outlineLevel="2" x14ac:dyDescent="0.25">
      <c r="B359" s="1" t="s">
        <v>353</v>
      </c>
      <c r="C359" s="191">
        <v>6948.8</v>
      </c>
      <c r="E359" s="211">
        <v>0</v>
      </c>
      <c r="F359" s="211">
        <v>0</v>
      </c>
      <c r="G359" s="212">
        <f>+E359*C359</f>
        <v>0</v>
      </c>
      <c r="H359" s="212">
        <f>+F359*C359</f>
        <v>0</v>
      </c>
    </row>
    <row r="360" spans="2:8" hidden="1" outlineLevel="2" x14ac:dyDescent="0.25">
      <c r="B360" s="1" t="s">
        <v>354</v>
      </c>
      <c r="C360" s="191">
        <v>7983.2</v>
      </c>
      <c r="E360" s="211">
        <v>0</v>
      </c>
      <c r="F360" s="211">
        <v>0</v>
      </c>
      <c r="G360" s="212">
        <f>+E360*C360</f>
        <v>0</v>
      </c>
      <c r="H360" s="212">
        <f>+F360*C360</f>
        <v>0</v>
      </c>
    </row>
    <row r="361" spans="2:8" hidden="1" outlineLevel="2" x14ac:dyDescent="0.25">
      <c r="B361" s="1" t="s">
        <v>186</v>
      </c>
      <c r="C361" s="191">
        <v>17107.439999999999</v>
      </c>
      <c r="E361" s="211">
        <v>0</v>
      </c>
      <c r="F361" s="211">
        <v>0</v>
      </c>
      <c r="G361" s="212">
        <f>+E361*C361</f>
        <v>0</v>
      </c>
      <c r="H361" s="212">
        <f>+F361*C361</f>
        <v>0</v>
      </c>
    </row>
    <row r="362" spans="2:8" hidden="1" outlineLevel="2" x14ac:dyDescent="0.25">
      <c r="B362" s="1" t="s">
        <v>165</v>
      </c>
      <c r="C362" s="191">
        <v>3974.1</v>
      </c>
      <c r="E362" s="211">
        <v>0</v>
      </c>
      <c r="F362" s="211">
        <v>0</v>
      </c>
      <c r="G362" s="212">
        <f>+E362*C362</f>
        <v>0</v>
      </c>
      <c r="H362" s="212">
        <f>+F362*C362</f>
        <v>0</v>
      </c>
    </row>
    <row r="363" spans="2:8" hidden="1" outlineLevel="2" x14ac:dyDescent="0.25">
      <c r="B363" s="1" t="s">
        <v>187</v>
      </c>
      <c r="C363" s="191">
        <v>27590.82</v>
      </c>
      <c r="E363" s="211">
        <v>0</v>
      </c>
      <c r="F363" s="211">
        <v>0</v>
      </c>
      <c r="G363" s="212">
        <f>+E363*C363</f>
        <v>0</v>
      </c>
      <c r="H363" s="212">
        <f>+F363*C363</f>
        <v>0</v>
      </c>
    </row>
    <row r="364" spans="2:8" hidden="1" outlineLevel="2" x14ac:dyDescent="0.25">
      <c r="B364" s="1" t="s">
        <v>131</v>
      </c>
      <c r="C364" s="191">
        <v>2488.67</v>
      </c>
      <c r="E364" s="211">
        <v>0</v>
      </c>
      <c r="F364" s="211">
        <v>0</v>
      </c>
      <c r="G364" s="212">
        <f>+E364*C364</f>
        <v>0</v>
      </c>
      <c r="H364" s="212">
        <f>+F364*C364</f>
        <v>0</v>
      </c>
    </row>
    <row r="365" spans="2:8" hidden="1" outlineLevel="2" x14ac:dyDescent="0.25">
      <c r="B365" s="1" t="s">
        <v>166</v>
      </c>
      <c r="C365" s="191">
        <v>24031.53</v>
      </c>
      <c r="E365" s="211">
        <v>0</v>
      </c>
      <c r="F365" s="211">
        <v>0</v>
      </c>
      <c r="G365" s="212">
        <f>+E365*C365</f>
        <v>0</v>
      </c>
      <c r="H365" s="212">
        <f>+F365*C365</f>
        <v>0</v>
      </c>
    </row>
    <row r="366" spans="2:8" hidden="1" outlineLevel="2" x14ac:dyDescent="0.25">
      <c r="B366" s="1" t="s">
        <v>188</v>
      </c>
      <c r="C366" s="191">
        <v>2196.6999999999998</v>
      </c>
      <c r="E366" s="211">
        <v>0</v>
      </c>
      <c r="F366" s="211">
        <v>0</v>
      </c>
      <c r="G366" s="212">
        <f>+E366*C366</f>
        <v>0</v>
      </c>
      <c r="H366" s="212">
        <f>+F366*C366</f>
        <v>0</v>
      </c>
    </row>
    <row r="367" spans="2:8" hidden="1" outlineLevel="1" collapsed="1" x14ac:dyDescent="0.25">
      <c r="B367" s="207" t="s">
        <v>189</v>
      </c>
      <c r="C367" s="208">
        <v>90820.99</v>
      </c>
      <c r="E367" s="209"/>
      <c r="F367" s="209"/>
      <c r="G367" s="210"/>
      <c r="H367" s="210"/>
    </row>
    <row r="368" spans="2:8" hidden="1" outlineLevel="2" x14ac:dyDescent="0.25">
      <c r="B368" s="1" t="s">
        <v>138</v>
      </c>
      <c r="C368" s="191">
        <v>4464.6000000000004</v>
      </c>
      <c r="E368" s="211">
        <v>0</v>
      </c>
      <c r="F368" s="211">
        <v>0</v>
      </c>
      <c r="G368" s="212">
        <f>+E368*C368</f>
        <v>0</v>
      </c>
      <c r="H368" s="212">
        <f>+F368*C368</f>
        <v>0</v>
      </c>
    </row>
    <row r="369" spans="2:8" hidden="1" outlineLevel="2" x14ac:dyDescent="0.25">
      <c r="B369" s="1" t="s">
        <v>190</v>
      </c>
      <c r="C369" s="191">
        <v>14239.78</v>
      </c>
      <c r="E369" s="211">
        <v>0</v>
      </c>
      <c r="F369" s="211">
        <v>0</v>
      </c>
      <c r="G369" s="212">
        <f>+E369*C369</f>
        <v>0</v>
      </c>
      <c r="H369" s="212">
        <f>+F369*C369</f>
        <v>0</v>
      </c>
    </row>
    <row r="370" spans="2:8" hidden="1" outlineLevel="2" x14ac:dyDescent="0.25">
      <c r="B370" s="1" t="s">
        <v>355</v>
      </c>
      <c r="C370" s="191">
        <v>20649.03</v>
      </c>
      <c r="E370" s="211">
        <v>0</v>
      </c>
      <c r="F370" s="211">
        <v>0</v>
      </c>
      <c r="G370" s="212">
        <f>+E370*C370</f>
        <v>0</v>
      </c>
      <c r="H370" s="212">
        <f>+F370*C370</f>
        <v>0</v>
      </c>
    </row>
    <row r="371" spans="2:8" hidden="1" outlineLevel="2" x14ac:dyDescent="0.25">
      <c r="B371" s="1" t="s">
        <v>192</v>
      </c>
      <c r="C371" s="191">
        <v>4296.96</v>
      </c>
      <c r="E371" s="211">
        <v>0</v>
      </c>
      <c r="F371" s="211">
        <v>0</v>
      </c>
      <c r="G371" s="212">
        <f>+E371*C371</f>
        <v>0</v>
      </c>
      <c r="H371" s="212">
        <f>+F371*C371</f>
        <v>0</v>
      </c>
    </row>
    <row r="372" spans="2:8" hidden="1" outlineLevel="2" x14ac:dyDescent="0.25">
      <c r="B372" s="1" t="s">
        <v>356</v>
      </c>
      <c r="C372" s="191">
        <v>2318.3200000000002</v>
      </c>
      <c r="E372" s="211">
        <v>0</v>
      </c>
      <c r="F372" s="211">
        <v>0</v>
      </c>
      <c r="G372" s="212">
        <f>+E372*C372</f>
        <v>0</v>
      </c>
      <c r="H372" s="212">
        <f>+F372*C372</f>
        <v>0</v>
      </c>
    </row>
    <row r="373" spans="2:8" hidden="1" outlineLevel="2" x14ac:dyDescent="0.25">
      <c r="B373" s="1" t="s">
        <v>193</v>
      </c>
      <c r="C373" s="191">
        <v>5749.92</v>
      </c>
      <c r="E373" s="211">
        <v>0</v>
      </c>
      <c r="F373" s="211">
        <v>0</v>
      </c>
      <c r="G373" s="212">
        <f>+E373*C373</f>
        <v>0</v>
      </c>
      <c r="H373" s="212">
        <f>+F373*C373</f>
        <v>0</v>
      </c>
    </row>
    <row r="374" spans="2:8" hidden="1" outlineLevel="2" x14ac:dyDescent="0.25">
      <c r="B374" s="1" t="s">
        <v>357</v>
      </c>
      <c r="C374" s="191">
        <v>36613.71</v>
      </c>
      <c r="E374" s="211">
        <v>0</v>
      </c>
      <c r="F374" s="211">
        <v>0</v>
      </c>
      <c r="G374" s="212">
        <f>+E374*C374</f>
        <v>0</v>
      </c>
      <c r="H374" s="212">
        <f>+F374*C374</f>
        <v>0</v>
      </c>
    </row>
    <row r="375" spans="2:8" hidden="1" outlineLevel="2" x14ac:dyDescent="0.25">
      <c r="B375" s="1" t="s">
        <v>131</v>
      </c>
      <c r="C375" s="191">
        <v>2488.67</v>
      </c>
      <c r="E375" s="211">
        <v>0</v>
      </c>
      <c r="F375" s="211">
        <v>0</v>
      </c>
      <c r="G375" s="212">
        <f>+E375*C375</f>
        <v>0</v>
      </c>
      <c r="H375" s="212">
        <f>+F375*C375</f>
        <v>0</v>
      </c>
    </row>
    <row r="376" spans="2:8" hidden="1" outlineLevel="1" collapsed="1" x14ac:dyDescent="0.25">
      <c r="B376" s="207" t="s">
        <v>195</v>
      </c>
      <c r="C376" s="208">
        <v>7350.66</v>
      </c>
      <c r="E376" s="209"/>
      <c r="F376" s="209"/>
      <c r="G376" s="210"/>
      <c r="H376" s="210"/>
    </row>
    <row r="377" spans="2:8" hidden="1" outlineLevel="2" x14ac:dyDescent="0.25">
      <c r="B377" s="1" t="s">
        <v>196</v>
      </c>
      <c r="C377" s="191">
        <v>5509.8</v>
      </c>
      <c r="E377" s="211">
        <v>0</v>
      </c>
      <c r="F377" s="211">
        <v>0</v>
      </c>
      <c r="G377" s="212">
        <f>+E377*C377</f>
        <v>0</v>
      </c>
      <c r="H377" s="212">
        <f>+F377*C377</f>
        <v>0</v>
      </c>
    </row>
    <row r="378" spans="2:8" hidden="1" outlineLevel="2" x14ac:dyDescent="0.25">
      <c r="B378" s="1" t="s">
        <v>197</v>
      </c>
      <c r="C378" s="191">
        <v>1840.86</v>
      </c>
      <c r="E378" s="211">
        <v>0</v>
      </c>
      <c r="F378" s="211">
        <v>0</v>
      </c>
      <c r="G378" s="212">
        <f>+E378*C378</f>
        <v>0</v>
      </c>
      <c r="H378" s="212">
        <f>+F378*C378</f>
        <v>0</v>
      </c>
    </row>
    <row r="379" spans="2:8" hidden="1" outlineLevel="1" collapsed="1" x14ac:dyDescent="0.25">
      <c r="B379" s="207" t="s">
        <v>198</v>
      </c>
      <c r="C379" s="208">
        <v>25050.720000000001</v>
      </c>
      <c r="E379" s="209"/>
      <c r="F379" s="209"/>
      <c r="G379" s="210"/>
      <c r="H379" s="210"/>
    </row>
    <row r="380" spans="2:8" hidden="1" outlineLevel="2" x14ac:dyDescent="0.25">
      <c r="B380" s="1" t="s">
        <v>199</v>
      </c>
      <c r="C380" s="191">
        <v>3716.95</v>
      </c>
      <c r="E380" s="211">
        <v>0</v>
      </c>
      <c r="F380" s="211">
        <v>0</v>
      </c>
      <c r="G380" s="212">
        <f>+E380*C380</f>
        <v>0</v>
      </c>
      <c r="H380" s="212">
        <f>+F380*C380</f>
        <v>0</v>
      </c>
    </row>
    <row r="381" spans="2:8" hidden="1" outlineLevel="2" x14ac:dyDescent="0.25">
      <c r="B381" s="1" t="s">
        <v>200</v>
      </c>
      <c r="C381" s="191">
        <v>21333.77</v>
      </c>
      <c r="E381" s="211">
        <v>0</v>
      </c>
      <c r="F381" s="211">
        <v>0</v>
      </c>
      <c r="G381" s="212">
        <f>+E381*C381</f>
        <v>0</v>
      </c>
      <c r="H381" s="212">
        <f>+F381*C381</f>
        <v>0</v>
      </c>
    </row>
    <row r="382" spans="2:8" hidden="1" outlineLevel="1" collapsed="1" x14ac:dyDescent="0.25">
      <c r="B382" s="207" t="s">
        <v>201</v>
      </c>
      <c r="C382" s="208">
        <v>188894.05</v>
      </c>
      <c r="E382" s="209"/>
      <c r="F382" s="209"/>
      <c r="G382" s="210"/>
      <c r="H382" s="210"/>
    </row>
    <row r="383" spans="2:8" hidden="1" outlineLevel="2" x14ac:dyDescent="0.25">
      <c r="B383" s="1" t="s">
        <v>202</v>
      </c>
      <c r="C383" s="191">
        <v>2170.59</v>
      </c>
      <c r="E383" s="211">
        <v>0</v>
      </c>
      <c r="F383" s="211">
        <v>0</v>
      </c>
      <c r="G383" s="212">
        <f>+E383*C383</f>
        <v>0</v>
      </c>
      <c r="H383" s="212">
        <f>+F383*C383</f>
        <v>0</v>
      </c>
    </row>
    <row r="384" spans="2:8" hidden="1" outlineLevel="2" x14ac:dyDescent="0.25">
      <c r="B384" s="1" t="s">
        <v>358</v>
      </c>
      <c r="C384" s="191">
        <v>0</v>
      </c>
      <c r="E384" s="211">
        <v>0</v>
      </c>
      <c r="F384" s="211">
        <v>0</v>
      </c>
      <c r="G384" s="212">
        <f>+E384*C384</f>
        <v>0</v>
      </c>
      <c r="H384" s="212">
        <f>+F384*C384</f>
        <v>0</v>
      </c>
    </row>
    <row r="385" spans="2:8" hidden="1" outlineLevel="2" x14ac:dyDescent="0.25">
      <c r="B385" s="1" t="s">
        <v>359</v>
      </c>
      <c r="C385" s="191">
        <v>9159.15</v>
      </c>
      <c r="E385" s="211">
        <v>0</v>
      </c>
      <c r="F385" s="211">
        <v>0</v>
      </c>
      <c r="G385" s="212">
        <f>+E385*C385</f>
        <v>0</v>
      </c>
      <c r="H385" s="212">
        <f>+F385*C385</f>
        <v>0</v>
      </c>
    </row>
    <row r="386" spans="2:8" hidden="1" outlineLevel="2" x14ac:dyDescent="0.25">
      <c r="B386" s="1" t="s">
        <v>360</v>
      </c>
      <c r="C386" s="191">
        <v>6332.5</v>
      </c>
      <c r="E386" s="211">
        <v>0</v>
      </c>
      <c r="F386" s="211">
        <v>0</v>
      </c>
      <c r="G386" s="212">
        <f>+E386*C386</f>
        <v>0</v>
      </c>
      <c r="H386" s="212">
        <f>+F386*C386</f>
        <v>0</v>
      </c>
    </row>
    <row r="387" spans="2:8" hidden="1" outlineLevel="2" x14ac:dyDescent="0.25">
      <c r="B387" s="1" t="s">
        <v>361</v>
      </c>
      <c r="C387" s="191">
        <v>1656.86</v>
      </c>
      <c r="E387" s="211">
        <v>0</v>
      </c>
      <c r="F387" s="211">
        <v>0</v>
      </c>
      <c r="G387" s="212">
        <f>+E387*C387</f>
        <v>0</v>
      </c>
      <c r="H387" s="212">
        <f>+F387*C387</f>
        <v>0</v>
      </c>
    </row>
    <row r="388" spans="2:8" hidden="1" outlineLevel="2" x14ac:dyDescent="0.25">
      <c r="B388" s="1" t="s">
        <v>362</v>
      </c>
      <c r="C388" s="191">
        <v>261.52999999999997</v>
      </c>
      <c r="E388" s="211">
        <v>0</v>
      </c>
      <c r="F388" s="211">
        <v>0</v>
      </c>
      <c r="G388" s="212">
        <f>+E388*C388</f>
        <v>0</v>
      </c>
      <c r="H388" s="212">
        <f>+F388*C388</f>
        <v>0</v>
      </c>
    </row>
    <row r="389" spans="2:8" hidden="1" outlineLevel="2" x14ac:dyDescent="0.25">
      <c r="B389" s="1" t="s">
        <v>363</v>
      </c>
      <c r="C389" s="191">
        <v>1615.32</v>
      </c>
      <c r="E389" s="211">
        <v>0</v>
      </c>
      <c r="F389" s="211">
        <v>0</v>
      </c>
      <c r="G389" s="212">
        <f>+E389*C389</f>
        <v>0</v>
      </c>
      <c r="H389" s="212">
        <f>+F389*C389</f>
        <v>0</v>
      </c>
    </row>
    <row r="390" spans="2:8" hidden="1" outlineLevel="2" x14ac:dyDescent="0.25">
      <c r="B390" s="1" t="s">
        <v>203</v>
      </c>
      <c r="C390" s="191">
        <v>3892.35</v>
      </c>
      <c r="E390" s="211">
        <v>0</v>
      </c>
      <c r="F390" s="211">
        <v>0</v>
      </c>
      <c r="G390" s="212">
        <f>+E390*C390</f>
        <v>0</v>
      </c>
      <c r="H390" s="212">
        <f>+F390*C390</f>
        <v>0</v>
      </c>
    </row>
    <row r="391" spans="2:8" hidden="1" outlineLevel="2" x14ac:dyDescent="0.25">
      <c r="B391" s="1" t="s">
        <v>204</v>
      </c>
      <c r="C391" s="191">
        <v>103.26</v>
      </c>
      <c r="E391" s="211">
        <v>0</v>
      </c>
      <c r="F391" s="211">
        <v>0</v>
      </c>
      <c r="G391" s="212">
        <f>+E391*C391</f>
        <v>0</v>
      </c>
      <c r="H391" s="212">
        <f>+F391*C391</f>
        <v>0</v>
      </c>
    </row>
    <row r="392" spans="2:8" hidden="1" outlineLevel="2" x14ac:dyDescent="0.25">
      <c r="B392" s="1" t="s">
        <v>205</v>
      </c>
      <c r="C392" s="191">
        <v>2300.16</v>
      </c>
      <c r="E392" s="211">
        <v>0</v>
      </c>
      <c r="F392" s="211">
        <v>0</v>
      </c>
      <c r="G392" s="212">
        <f>+E392*C392</f>
        <v>0</v>
      </c>
      <c r="H392" s="212">
        <f>+F392*C392</f>
        <v>0</v>
      </c>
    </row>
    <row r="393" spans="2:8" hidden="1" outlineLevel="2" x14ac:dyDescent="0.25">
      <c r="B393" s="1" t="s">
        <v>206</v>
      </c>
      <c r="C393" s="191">
        <v>697.01</v>
      </c>
      <c r="E393" s="211">
        <v>0</v>
      </c>
      <c r="F393" s="211">
        <v>0</v>
      </c>
      <c r="G393" s="212">
        <f>+E393*C393</f>
        <v>0</v>
      </c>
      <c r="H393" s="212">
        <f>+F393*C393</f>
        <v>0</v>
      </c>
    </row>
    <row r="394" spans="2:8" hidden="1" outlineLevel="2" x14ac:dyDescent="0.25">
      <c r="B394" s="1" t="s">
        <v>121</v>
      </c>
      <c r="C394" s="191">
        <v>574.99</v>
      </c>
      <c r="E394" s="211">
        <v>0</v>
      </c>
      <c r="F394" s="211">
        <v>0</v>
      </c>
      <c r="G394" s="212">
        <f>+E394*C394</f>
        <v>0</v>
      </c>
      <c r="H394" s="212">
        <f>+F394*C394</f>
        <v>0</v>
      </c>
    </row>
    <row r="395" spans="2:8" hidden="1" outlineLevel="2" x14ac:dyDescent="0.25">
      <c r="B395" s="1" t="s">
        <v>207</v>
      </c>
      <c r="C395" s="191">
        <v>4001.07</v>
      </c>
      <c r="E395" s="211">
        <v>0</v>
      </c>
      <c r="F395" s="211">
        <v>0</v>
      </c>
      <c r="G395" s="212">
        <f>+E395*C395</f>
        <v>0</v>
      </c>
      <c r="H395" s="212">
        <f>+F395*C395</f>
        <v>0</v>
      </c>
    </row>
    <row r="396" spans="2:8" hidden="1" outlineLevel="2" x14ac:dyDescent="0.25">
      <c r="B396" s="1" t="s">
        <v>208</v>
      </c>
      <c r="C396" s="191">
        <v>582.16999999999996</v>
      </c>
      <c r="E396" s="211">
        <v>0</v>
      </c>
      <c r="F396" s="211">
        <v>0</v>
      </c>
      <c r="G396" s="212">
        <f>+E396*C396</f>
        <v>0</v>
      </c>
      <c r="H396" s="212">
        <f>+F396*C396</f>
        <v>0</v>
      </c>
    </row>
    <row r="397" spans="2:8" hidden="1" outlineLevel="2" x14ac:dyDescent="0.25">
      <c r="B397" s="1" t="s">
        <v>124</v>
      </c>
      <c r="C397" s="191">
        <v>574.99</v>
      </c>
      <c r="E397" s="211">
        <v>0</v>
      </c>
      <c r="F397" s="211">
        <v>0</v>
      </c>
      <c r="G397" s="212">
        <f>+E397*C397</f>
        <v>0</v>
      </c>
      <c r="H397" s="212">
        <f>+F397*C397</f>
        <v>0</v>
      </c>
    </row>
    <row r="398" spans="2:8" hidden="1" outlineLevel="2" x14ac:dyDescent="0.25">
      <c r="B398" s="1" t="s">
        <v>209</v>
      </c>
      <c r="C398" s="191">
        <v>5038.08</v>
      </c>
      <c r="E398" s="211">
        <v>0</v>
      </c>
      <c r="F398" s="211">
        <v>0</v>
      </c>
      <c r="G398" s="212">
        <f>+E398*C398</f>
        <v>0</v>
      </c>
      <c r="H398" s="212">
        <f>+F398*C398</f>
        <v>0</v>
      </c>
    </row>
    <row r="399" spans="2:8" hidden="1" outlineLevel="2" x14ac:dyDescent="0.25">
      <c r="B399" s="1" t="s">
        <v>210</v>
      </c>
      <c r="C399" s="191">
        <v>19232.099999999999</v>
      </c>
      <c r="E399" s="211">
        <v>0</v>
      </c>
      <c r="F399" s="211">
        <v>0</v>
      </c>
      <c r="G399" s="212">
        <f>+E399*C399</f>
        <v>0</v>
      </c>
      <c r="H399" s="212">
        <f>+F399*C399</f>
        <v>0</v>
      </c>
    </row>
    <row r="400" spans="2:8" hidden="1" outlineLevel="2" x14ac:dyDescent="0.25">
      <c r="B400" s="1" t="s">
        <v>131</v>
      </c>
      <c r="C400" s="191">
        <v>961.86</v>
      </c>
      <c r="E400" s="211">
        <v>0</v>
      </c>
      <c r="F400" s="211">
        <v>0</v>
      </c>
      <c r="G400" s="212">
        <f>+E400*C400</f>
        <v>0</v>
      </c>
      <c r="H400" s="212">
        <f>+F400*C400</f>
        <v>0</v>
      </c>
    </row>
    <row r="401" spans="2:8" hidden="1" outlineLevel="2" x14ac:dyDescent="0.25">
      <c r="B401" s="1" t="s">
        <v>211</v>
      </c>
      <c r="C401" s="191">
        <v>34476.089999999997</v>
      </c>
      <c r="E401" s="211">
        <v>0</v>
      </c>
      <c r="F401" s="211">
        <v>0</v>
      </c>
      <c r="G401" s="212">
        <f>+E401*C401</f>
        <v>0</v>
      </c>
      <c r="H401" s="212">
        <f>+F401*C401</f>
        <v>0</v>
      </c>
    </row>
    <row r="402" spans="2:8" hidden="1" outlineLevel="2" x14ac:dyDescent="0.25">
      <c r="B402" s="1" t="s">
        <v>212</v>
      </c>
      <c r="C402" s="191">
        <v>7984.25</v>
      </c>
      <c r="E402" s="211">
        <v>0</v>
      </c>
      <c r="F402" s="211">
        <v>0</v>
      </c>
      <c r="G402" s="212">
        <f>+E402*C402</f>
        <v>0</v>
      </c>
      <c r="H402" s="212">
        <f>+F402*C402</f>
        <v>0</v>
      </c>
    </row>
    <row r="403" spans="2:8" hidden="1" outlineLevel="2" x14ac:dyDescent="0.25">
      <c r="B403" s="1" t="s">
        <v>131</v>
      </c>
      <c r="C403" s="191">
        <v>399.32</v>
      </c>
      <c r="E403" s="211">
        <v>0</v>
      </c>
      <c r="F403" s="211">
        <v>0</v>
      </c>
      <c r="G403" s="212">
        <f>+E403*C403</f>
        <v>0</v>
      </c>
      <c r="H403" s="212">
        <f>+F403*C403</f>
        <v>0</v>
      </c>
    </row>
    <row r="404" spans="2:8" hidden="1" outlineLevel="2" x14ac:dyDescent="0.25">
      <c r="B404" s="1" t="s">
        <v>213</v>
      </c>
      <c r="C404" s="191">
        <v>742.91</v>
      </c>
      <c r="E404" s="211">
        <v>0</v>
      </c>
      <c r="F404" s="211">
        <v>0</v>
      </c>
      <c r="G404" s="212">
        <f>+E404*C404</f>
        <v>0</v>
      </c>
      <c r="H404" s="212">
        <f>+F404*C404</f>
        <v>0</v>
      </c>
    </row>
    <row r="405" spans="2:8" hidden="1" outlineLevel="2" x14ac:dyDescent="0.25">
      <c r="B405" s="1" t="s">
        <v>214</v>
      </c>
      <c r="C405" s="191">
        <v>9692.98</v>
      </c>
      <c r="E405" s="211">
        <v>0</v>
      </c>
      <c r="F405" s="211">
        <v>0</v>
      </c>
      <c r="G405" s="212">
        <f>+E405*C405</f>
        <v>0</v>
      </c>
      <c r="H405" s="212">
        <f>+F405*C405</f>
        <v>0</v>
      </c>
    </row>
    <row r="406" spans="2:8" hidden="1" outlineLevel="2" x14ac:dyDescent="0.25">
      <c r="B406" s="1" t="s">
        <v>364</v>
      </c>
      <c r="C406" s="191">
        <v>29626.57</v>
      </c>
      <c r="E406" s="211">
        <v>0</v>
      </c>
      <c r="F406" s="211">
        <v>0</v>
      </c>
      <c r="G406" s="212">
        <f>+E406*C406</f>
        <v>0</v>
      </c>
      <c r="H406" s="212">
        <f>+F406*C406</f>
        <v>0</v>
      </c>
    </row>
    <row r="407" spans="2:8" hidden="1" outlineLevel="2" x14ac:dyDescent="0.25">
      <c r="B407" s="1" t="s">
        <v>365</v>
      </c>
      <c r="C407" s="191">
        <v>33171.08</v>
      </c>
      <c r="E407" s="211">
        <v>0</v>
      </c>
      <c r="F407" s="211">
        <v>0</v>
      </c>
      <c r="G407" s="212">
        <f>+E407*C407</f>
        <v>0</v>
      </c>
      <c r="H407" s="212">
        <f>+F407*C407</f>
        <v>0</v>
      </c>
    </row>
    <row r="408" spans="2:8" hidden="1" outlineLevel="2" x14ac:dyDescent="0.25">
      <c r="B408" s="1" t="s">
        <v>366</v>
      </c>
      <c r="C408" s="191">
        <v>13646.86</v>
      </c>
      <c r="E408" s="211">
        <v>0</v>
      </c>
      <c r="F408" s="211">
        <v>0</v>
      </c>
      <c r="G408" s="212">
        <f>+E408*C408</f>
        <v>0</v>
      </c>
      <c r="H408" s="212">
        <f>+F408*C408</f>
        <v>0</v>
      </c>
    </row>
    <row r="409" spans="2:8" hidden="1" outlineLevel="1" collapsed="1" x14ac:dyDescent="0.25">
      <c r="B409" s="207" t="s">
        <v>216</v>
      </c>
      <c r="C409" s="208">
        <v>166532.97</v>
      </c>
      <c r="E409" s="209"/>
      <c r="F409" s="209"/>
      <c r="G409" s="210"/>
      <c r="H409" s="210"/>
    </row>
    <row r="410" spans="2:8" hidden="1" outlineLevel="2" x14ac:dyDescent="0.25">
      <c r="B410" s="1" t="s">
        <v>217</v>
      </c>
      <c r="C410" s="191">
        <v>64808.09</v>
      </c>
      <c r="E410" s="211">
        <v>0</v>
      </c>
      <c r="F410" s="211">
        <v>0</v>
      </c>
      <c r="G410" s="212">
        <f>+E410*C410</f>
        <v>0</v>
      </c>
      <c r="H410" s="212">
        <f>+F410*C410</f>
        <v>0</v>
      </c>
    </row>
    <row r="411" spans="2:8" hidden="1" outlineLevel="2" x14ac:dyDescent="0.25">
      <c r="B411" s="1" t="s">
        <v>218</v>
      </c>
      <c r="C411" s="191">
        <v>38790.660000000003</v>
      </c>
      <c r="E411" s="211">
        <v>0</v>
      </c>
      <c r="F411" s="211">
        <v>0</v>
      </c>
      <c r="G411" s="212">
        <f>+E411*C411</f>
        <v>0</v>
      </c>
      <c r="H411" s="212">
        <f>+F411*C411</f>
        <v>0</v>
      </c>
    </row>
    <row r="412" spans="2:8" hidden="1" outlineLevel="2" x14ac:dyDescent="0.25">
      <c r="B412" s="1" t="s">
        <v>219</v>
      </c>
      <c r="C412" s="191">
        <v>22861.3</v>
      </c>
      <c r="E412" s="211">
        <v>0</v>
      </c>
      <c r="F412" s="211">
        <v>0</v>
      </c>
      <c r="G412" s="212">
        <f>+E412*C412</f>
        <v>0</v>
      </c>
      <c r="H412" s="212">
        <f>+F412*C412</f>
        <v>0</v>
      </c>
    </row>
    <row r="413" spans="2:8" hidden="1" outlineLevel="2" x14ac:dyDescent="0.25">
      <c r="B413" s="1" t="s">
        <v>220</v>
      </c>
      <c r="C413" s="191">
        <v>3311.24</v>
      </c>
      <c r="E413" s="211">
        <v>0</v>
      </c>
      <c r="F413" s="211">
        <v>0</v>
      </c>
      <c r="G413" s="212">
        <f>+E413*C413</f>
        <v>0</v>
      </c>
      <c r="H413" s="212">
        <f>+F413*C413</f>
        <v>0</v>
      </c>
    </row>
    <row r="414" spans="2:8" hidden="1" outlineLevel="2" x14ac:dyDescent="0.25">
      <c r="B414" s="1" t="s">
        <v>367</v>
      </c>
      <c r="C414" s="191">
        <v>17500.990000000002</v>
      </c>
      <c r="E414" s="211">
        <v>0</v>
      </c>
      <c r="F414" s="211">
        <v>0</v>
      </c>
      <c r="G414" s="212">
        <f>+E414*C414</f>
        <v>0</v>
      </c>
      <c r="H414" s="212">
        <f>+F414*C414</f>
        <v>0</v>
      </c>
    </row>
    <row r="415" spans="2:8" hidden="1" outlineLevel="2" x14ac:dyDescent="0.25">
      <c r="B415" s="1" t="s">
        <v>368</v>
      </c>
      <c r="C415" s="191">
        <v>12951.73</v>
      </c>
      <c r="E415" s="211">
        <v>0</v>
      </c>
      <c r="F415" s="211">
        <v>0</v>
      </c>
      <c r="G415" s="212">
        <f>+E415*C415</f>
        <v>0</v>
      </c>
      <c r="H415" s="212">
        <f>+F415*C415</f>
        <v>0</v>
      </c>
    </row>
    <row r="416" spans="2:8" hidden="1" outlineLevel="2" x14ac:dyDescent="0.25">
      <c r="B416" s="1" t="s">
        <v>369</v>
      </c>
      <c r="C416" s="191">
        <v>3589.26</v>
      </c>
      <c r="E416" s="211">
        <v>0</v>
      </c>
      <c r="F416" s="211">
        <v>0</v>
      </c>
      <c r="G416" s="212">
        <f>+E416*C416</f>
        <v>0</v>
      </c>
      <c r="H416" s="212">
        <f>+F416*C416</f>
        <v>0</v>
      </c>
    </row>
    <row r="417" spans="2:8" hidden="1" outlineLevel="2" x14ac:dyDescent="0.25">
      <c r="B417" s="1" t="s">
        <v>370</v>
      </c>
      <c r="C417" s="191">
        <v>2719.7</v>
      </c>
      <c r="E417" s="211">
        <v>0</v>
      </c>
      <c r="F417" s="211">
        <v>0</v>
      </c>
      <c r="G417" s="212">
        <f>+E417*C417</f>
        <v>0</v>
      </c>
      <c r="H417" s="212">
        <f>+F417*C417</f>
        <v>0</v>
      </c>
    </row>
    <row r="418" spans="2:8" hidden="1" outlineLevel="1" collapsed="1" x14ac:dyDescent="0.25">
      <c r="B418" s="207" t="s">
        <v>221</v>
      </c>
      <c r="C418" s="208">
        <v>211896.68</v>
      </c>
      <c r="E418" s="209"/>
      <c r="F418" s="209"/>
      <c r="G418" s="210"/>
      <c r="H418" s="210"/>
    </row>
    <row r="419" spans="2:8" hidden="1" outlineLevel="2" x14ac:dyDescent="0.25">
      <c r="B419" s="1" t="s">
        <v>222</v>
      </c>
      <c r="C419" s="191">
        <v>101452.75</v>
      </c>
      <c r="E419" s="211">
        <v>0</v>
      </c>
      <c r="F419" s="211">
        <v>0</v>
      </c>
      <c r="G419" s="212">
        <f>+E419*C419</f>
        <v>0</v>
      </c>
      <c r="H419" s="212">
        <f>+F419*C419</f>
        <v>0</v>
      </c>
    </row>
    <row r="420" spans="2:8" hidden="1" outlineLevel="2" x14ac:dyDescent="0.25">
      <c r="B420" s="1" t="s">
        <v>371</v>
      </c>
      <c r="C420" s="191">
        <v>5107.7700000000004</v>
      </c>
      <c r="E420" s="211">
        <v>0</v>
      </c>
      <c r="F420" s="211">
        <v>0</v>
      </c>
      <c r="G420" s="212">
        <f>+E420*C420</f>
        <v>0</v>
      </c>
      <c r="H420" s="212">
        <f>+F420*C420</f>
        <v>0</v>
      </c>
    </row>
    <row r="421" spans="2:8" hidden="1" outlineLevel="2" x14ac:dyDescent="0.25">
      <c r="B421" s="1" t="s">
        <v>372</v>
      </c>
      <c r="C421" s="191">
        <v>36924.78</v>
      </c>
      <c r="E421" s="211">
        <v>0</v>
      </c>
      <c r="F421" s="211">
        <v>0</v>
      </c>
      <c r="G421" s="212">
        <f>+E421*C421</f>
        <v>0</v>
      </c>
      <c r="H421" s="212">
        <f>+F421*C421</f>
        <v>0</v>
      </c>
    </row>
    <row r="422" spans="2:8" hidden="1" outlineLevel="2" x14ac:dyDescent="0.25">
      <c r="B422" s="1" t="s">
        <v>373</v>
      </c>
      <c r="C422" s="191">
        <v>6597.05</v>
      </c>
      <c r="E422" s="211">
        <v>0</v>
      </c>
      <c r="F422" s="211">
        <v>0</v>
      </c>
      <c r="G422" s="212">
        <f>+E422*C422</f>
        <v>0</v>
      </c>
      <c r="H422" s="212">
        <f>+F422*C422</f>
        <v>0</v>
      </c>
    </row>
    <row r="423" spans="2:8" hidden="1" outlineLevel="2" x14ac:dyDescent="0.25">
      <c r="B423" s="1" t="s">
        <v>374</v>
      </c>
      <c r="C423" s="191">
        <v>15889.99</v>
      </c>
      <c r="E423" s="211">
        <v>0</v>
      </c>
      <c r="F423" s="211">
        <v>0</v>
      </c>
      <c r="G423" s="212">
        <f>+E423*C423</f>
        <v>0</v>
      </c>
      <c r="H423" s="212">
        <f>+F423*C423</f>
        <v>0</v>
      </c>
    </row>
    <row r="424" spans="2:8" hidden="1" outlineLevel="2" x14ac:dyDescent="0.25">
      <c r="B424" s="1" t="s">
        <v>225</v>
      </c>
      <c r="C424" s="191">
        <v>35433.1</v>
      </c>
      <c r="E424" s="211">
        <v>0</v>
      </c>
      <c r="F424" s="211">
        <v>0</v>
      </c>
      <c r="G424" s="212">
        <f>+E424*C424</f>
        <v>0</v>
      </c>
      <c r="H424" s="212">
        <f>+F424*C424</f>
        <v>0</v>
      </c>
    </row>
    <row r="425" spans="2:8" hidden="1" outlineLevel="2" x14ac:dyDescent="0.25">
      <c r="B425" s="1" t="s">
        <v>227</v>
      </c>
      <c r="C425" s="191">
        <v>10491.24</v>
      </c>
      <c r="E425" s="211">
        <v>0</v>
      </c>
      <c r="F425" s="211">
        <v>0</v>
      </c>
      <c r="G425" s="212">
        <f>+E425*C425</f>
        <v>0</v>
      </c>
      <c r="H425" s="212">
        <f>+F425*C425</f>
        <v>0</v>
      </c>
    </row>
    <row r="426" spans="2:8" hidden="1" outlineLevel="1" collapsed="1" x14ac:dyDescent="0.25">
      <c r="B426" s="207" t="s">
        <v>228</v>
      </c>
      <c r="C426" s="208">
        <v>128336.19</v>
      </c>
      <c r="E426" s="209"/>
      <c r="F426" s="209"/>
      <c r="G426" s="210"/>
      <c r="H426" s="210"/>
    </row>
    <row r="427" spans="2:8" hidden="1" outlineLevel="2" x14ac:dyDescent="0.25">
      <c r="B427" s="1" t="s">
        <v>229</v>
      </c>
      <c r="C427" s="191">
        <v>79508.289999999994</v>
      </c>
      <c r="E427" s="211">
        <v>0</v>
      </c>
      <c r="F427" s="211">
        <v>0</v>
      </c>
      <c r="G427" s="212">
        <f>+E427*C427</f>
        <v>0</v>
      </c>
      <c r="H427" s="212">
        <f>+F427*C427</f>
        <v>0</v>
      </c>
    </row>
    <row r="428" spans="2:8" hidden="1" outlineLevel="2" x14ac:dyDescent="0.25">
      <c r="B428" s="1" t="s">
        <v>375</v>
      </c>
      <c r="C428" s="191">
        <v>66315.990000000005</v>
      </c>
      <c r="E428" s="211">
        <v>0</v>
      </c>
      <c r="F428" s="211">
        <v>0</v>
      </c>
      <c r="G428" s="212">
        <f>+E428*C428</f>
        <v>0</v>
      </c>
      <c r="H428" s="212">
        <f>+F428*C428</f>
        <v>0</v>
      </c>
    </row>
    <row r="429" spans="2:8" hidden="1" outlineLevel="2" x14ac:dyDescent="0.25">
      <c r="B429" s="1" t="s">
        <v>376</v>
      </c>
      <c r="C429" s="191">
        <v>13192.3</v>
      </c>
      <c r="E429" s="211">
        <v>0</v>
      </c>
      <c r="F429" s="211">
        <v>0</v>
      </c>
      <c r="G429" s="212">
        <f>+E429*C429</f>
        <v>0</v>
      </c>
      <c r="H429" s="212">
        <f>+F429*C429</f>
        <v>0</v>
      </c>
    </row>
    <row r="430" spans="2:8" hidden="1" outlineLevel="2" x14ac:dyDescent="0.25">
      <c r="B430" s="1" t="s">
        <v>377</v>
      </c>
      <c r="C430" s="191">
        <v>11266.24</v>
      </c>
      <c r="E430" s="211">
        <v>0</v>
      </c>
      <c r="F430" s="211">
        <v>0</v>
      </c>
      <c r="G430" s="212">
        <f>+E430*C430</f>
        <v>0</v>
      </c>
      <c r="H430" s="212">
        <f>+F430*C430</f>
        <v>0</v>
      </c>
    </row>
    <row r="431" spans="2:8" hidden="1" outlineLevel="2" x14ac:dyDescent="0.25">
      <c r="B431" s="1" t="s">
        <v>378</v>
      </c>
      <c r="C431" s="191">
        <v>11266.24</v>
      </c>
      <c r="E431" s="211">
        <v>0</v>
      </c>
      <c r="F431" s="211">
        <v>0</v>
      </c>
      <c r="G431" s="212">
        <f>+E431*C431</f>
        <v>0</v>
      </c>
      <c r="H431" s="212">
        <f>+F431*C431</f>
        <v>0</v>
      </c>
    </row>
    <row r="432" spans="2:8" hidden="1" outlineLevel="2" x14ac:dyDescent="0.25">
      <c r="B432" s="1" t="s">
        <v>232</v>
      </c>
      <c r="C432" s="191">
        <v>34400.620000000003</v>
      </c>
      <c r="E432" s="211">
        <v>0</v>
      </c>
      <c r="F432" s="211">
        <v>0</v>
      </c>
      <c r="G432" s="212">
        <f>+E432*C432</f>
        <v>0</v>
      </c>
      <c r="H432" s="212">
        <f>+F432*C432</f>
        <v>0</v>
      </c>
    </row>
    <row r="433" spans="2:8" hidden="1" outlineLevel="2" x14ac:dyDescent="0.25">
      <c r="B433" s="1" t="s">
        <v>379</v>
      </c>
      <c r="C433" s="191">
        <v>15685.85</v>
      </c>
      <c r="E433" s="211">
        <v>0</v>
      </c>
      <c r="F433" s="211">
        <v>0</v>
      </c>
      <c r="G433" s="212">
        <f>+E433*C433</f>
        <v>0</v>
      </c>
      <c r="H433" s="212">
        <f>+F433*C433</f>
        <v>0</v>
      </c>
    </row>
    <row r="434" spans="2:8" hidden="1" outlineLevel="2" x14ac:dyDescent="0.25">
      <c r="B434" s="1" t="s">
        <v>234</v>
      </c>
      <c r="C434" s="191">
        <v>844.6</v>
      </c>
      <c r="E434" s="211">
        <v>0</v>
      </c>
      <c r="F434" s="211">
        <v>0</v>
      </c>
      <c r="G434" s="212">
        <f>+E434*C434</f>
        <v>0</v>
      </c>
      <c r="H434" s="212">
        <f>+F434*C434</f>
        <v>0</v>
      </c>
    </row>
    <row r="435" spans="2:8" hidden="1" outlineLevel="2" x14ac:dyDescent="0.25">
      <c r="B435" s="1" t="s">
        <v>380</v>
      </c>
      <c r="C435" s="191">
        <v>2869.85</v>
      </c>
      <c r="E435" s="211">
        <v>0</v>
      </c>
      <c r="F435" s="211">
        <v>0</v>
      </c>
      <c r="G435" s="212">
        <f>+E435*C435</f>
        <v>0</v>
      </c>
      <c r="H435" s="212">
        <f>+F435*C435</f>
        <v>0</v>
      </c>
    </row>
    <row r="436" spans="2:8" hidden="1" outlineLevel="2" x14ac:dyDescent="0.25">
      <c r="B436" s="1" t="s">
        <v>376</v>
      </c>
      <c r="C436" s="191">
        <v>3126.61</v>
      </c>
      <c r="E436" s="211">
        <v>0</v>
      </c>
      <c r="F436" s="211">
        <v>0</v>
      </c>
      <c r="G436" s="212">
        <f>+E436*C436</f>
        <v>0</v>
      </c>
      <c r="H436" s="212">
        <f>+F436*C436</f>
        <v>0</v>
      </c>
    </row>
    <row r="437" spans="2:8" hidden="1" outlineLevel="2" x14ac:dyDescent="0.25">
      <c r="B437" s="1" t="s">
        <v>375</v>
      </c>
      <c r="C437" s="191">
        <v>6617.83</v>
      </c>
      <c r="E437" s="211">
        <v>0</v>
      </c>
      <c r="F437" s="211">
        <v>0</v>
      </c>
      <c r="G437" s="212">
        <f>+E437*C437</f>
        <v>0</v>
      </c>
      <c r="H437" s="212">
        <f>+F437*C437</f>
        <v>0</v>
      </c>
    </row>
    <row r="438" spans="2:8" hidden="1" outlineLevel="2" x14ac:dyDescent="0.25">
      <c r="B438" s="1" t="s">
        <v>236</v>
      </c>
      <c r="C438" s="191">
        <v>2474.7399999999998</v>
      </c>
      <c r="E438" s="211">
        <v>0</v>
      </c>
      <c r="F438" s="211">
        <v>0</v>
      </c>
      <c r="G438" s="212">
        <f>+E438*C438</f>
        <v>0</v>
      </c>
      <c r="H438" s="212">
        <f>+F438*C438</f>
        <v>0</v>
      </c>
    </row>
    <row r="439" spans="2:8" hidden="1" outlineLevel="2" x14ac:dyDescent="0.25">
      <c r="B439" s="1" t="s">
        <v>237</v>
      </c>
      <c r="C439" s="191">
        <v>2781.14</v>
      </c>
      <c r="E439" s="211">
        <v>0</v>
      </c>
      <c r="F439" s="211">
        <v>0</v>
      </c>
      <c r="G439" s="212">
        <f>+E439*C439</f>
        <v>0</v>
      </c>
      <c r="H439" s="212">
        <f>+F439*C439</f>
        <v>0</v>
      </c>
    </row>
    <row r="440" spans="2:8" hidden="1" outlineLevel="2" x14ac:dyDescent="0.25">
      <c r="B440" s="1" t="s">
        <v>63</v>
      </c>
      <c r="C440" s="191">
        <v>3161.04</v>
      </c>
      <c r="E440" s="211">
        <v>0</v>
      </c>
      <c r="F440" s="211">
        <v>0</v>
      </c>
      <c r="G440" s="212">
        <f>+E440*C440</f>
        <v>0</v>
      </c>
      <c r="H440" s="212">
        <f>+F440*C440</f>
        <v>0</v>
      </c>
    </row>
    <row r="441" spans="2:8" hidden="1" outlineLevel="2" x14ac:dyDescent="0.25">
      <c r="B441" s="1" t="s">
        <v>375</v>
      </c>
      <c r="C441" s="191">
        <v>3161.04</v>
      </c>
      <c r="E441" s="211">
        <v>0</v>
      </c>
      <c r="F441" s="211">
        <v>0</v>
      </c>
      <c r="G441" s="212">
        <f>+E441*C441</f>
        <v>0</v>
      </c>
      <c r="H441" s="212">
        <f>+F441*C441</f>
        <v>0</v>
      </c>
    </row>
    <row r="442" spans="2:8" hidden="1" outlineLevel="2" x14ac:dyDescent="0.25">
      <c r="B442" s="1" t="s">
        <v>376</v>
      </c>
      <c r="C442" s="191">
        <v>0</v>
      </c>
      <c r="E442" s="211">
        <v>0</v>
      </c>
      <c r="F442" s="211">
        <v>0</v>
      </c>
      <c r="G442" s="212">
        <f>+E442*C442</f>
        <v>0</v>
      </c>
      <c r="H442" s="212">
        <f>+F442*C442</f>
        <v>0</v>
      </c>
    </row>
    <row r="443" spans="2:8" hidden="1" outlineLevel="1" collapsed="1" x14ac:dyDescent="0.25">
      <c r="B443" s="207" t="s">
        <v>238</v>
      </c>
      <c r="C443" s="208">
        <v>883.4</v>
      </c>
      <c r="E443" s="209"/>
      <c r="F443" s="209"/>
      <c r="G443" s="210"/>
      <c r="H443" s="210"/>
    </row>
    <row r="444" spans="2:8" hidden="1" outlineLevel="2" x14ac:dyDescent="0.25">
      <c r="B444" s="1" t="s">
        <v>239</v>
      </c>
      <c r="C444" s="191">
        <v>883.4</v>
      </c>
      <c r="E444" s="211">
        <v>0</v>
      </c>
      <c r="F444" s="211">
        <v>0</v>
      </c>
      <c r="G444" s="212">
        <f>+E444*C444</f>
        <v>0</v>
      </c>
      <c r="H444" s="212">
        <f>+F444*C444</f>
        <v>0</v>
      </c>
    </row>
    <row r="445" spans="2:8" hidden="1" outlineLevel="1" collapsed="1" x14ac:dyDescent="0.25">
      <c r="B445" s="207" t="s">
        <v>240</v>
      </c>
      <c r="C445" s="208">
        <v>7349.8</v>
      </c>
      <c r="E445" s="209"/>
      <c r="F445" s="209"/>
      <c r="G445" s="210"/>
      <c r="H445" s="210"/>
    </row>
    <row r="446" spans="2:8" hidden="1" outlineLevel="2" x14ac:dyDescent="0.25">
      <c r="B446" s="1" t="s">
        <v>241</v>
      </c>
      <c r="C446" s="191">
        <v>5509.8</v>
      </c>
      <c r="E446" s="211">
        <v>0</v>
      </c>
      <c r="F446" s="211">
        <v>0</v>
      </c>
      <c r="G446" s="212">
        <f>+E446*C446</f>
        <v>0</v>
      </c>
      <c r="H446" s="212">
        <f>+F446*C446</f>
        <v>0</v>
      </c>
    </row>
    <row r="447" spans="2:8" hidden="1" outlineLevel="2" x14ac:dyDescent="0.25">
      <c r="B447" s="1" t="s">
        <v>242</v>
      </c>
      <c r="C447" s="191">
        <v>1840</v>
      </c>
      <c r="E447" s="211">
        <v>0</v>
      </c>
      <c r="F447" s="211">
        <v>0</v>
      </c>
      <c r="G447" s="212">
        <f>+E447*C447</f>
        <v>0</v>
      </c>
      <c r="H447" s="212">
        <f>+F447*C447</f>
        <v>0</v>
      </c>
    </row>
    <row r="448" spans="2:8" hidden="1" outlineLevel="1" collapsed="1" x14ac:dyDescent="0.25">
      <c r="B448" s="207" t="s">
        <v>243</v>
      </c>
      <c r="C448" s="208">
        <v>154174.9</v>
      </c>
      <c r="E448" s="209"/>
      <c r="F448" s="209"/>
      <c r="G448" s="210"/>
      <c r="H448" s="210"/>
    </row>
    <row r="449" spans="2:8" hidden="1" outlineLevel="2" x14ac:dyDescent="0.25">
      <c r="B449" s="1" t="s">
        <v>381</v>
      </c>
      <c r="C449" s="191">
        <v>21475.95</v>
      </c>
      <c r="E449" s="211">
        <v>0</v>
      </c>
      <c r="F449" s="211">
        <v>0</v>
      </c>
      <c r="G449" s="212">
        <f>+E449*C449</f>
        <v>0</v>
      </c>
      <c r="H449" s="212">
        <f>+F449*C449</f>
        <v>0</v>
      </c>
    </row>
    <row r="450" spans="2:8" hidden="1" outlineLevel="2" x14ac:dyDescent="0.25">
      <c r="B450" s="1" t="s">
        <v>382</v>
      </c>
      <c r="C450" s="191">
        <v>13840.06</v>
      </c>
      <c r="E450" s="211">
        <v>0</v>
      </c>
      <c r="F450" s="211">
        <v>0</v>
      </c>
      <c r="G450" s="212">
        <f>+E450*C450</f>
        <v>0</v>
      </c>
      <c r="H450" s="212">
        <f>+F450*C450</f>
        <v>0</v>
      </c>
    </row>
    <row r="451" spans="2:8" hidden="1" outlineLevel="2" x14ac:dyDescent="0.25">
      <c r="B451" s="1" t="s">
        <v>383</v>
      </c>
      <c r="C451" s="191">
        <v>1145.3800000000001</v>
      </c>
      <c r="E451" s="211">
        <v>0</v>
      </c>
      <c r="F451" s="211">
        <v>0</v>
      </c>
      <c r="G451" s="212">
        <f>+E451*C451</f>
        <v>0</v>
      </c>
      <c r="H451" s="212">
        <f>+F451*C451</f>
        <v>0</v>
      </c>
    </row>
    <row r="452" spans="2:8" hidden="1" outlineLevel="2" x14ac:dyDescent="0.25">
      <c r="B452" s="1" t="s">
        <v>384</v>
      </c>
      <c r="C452" s="191">
        <v>3817.95</v>
      </c>
      <c r="E452" s="211">
        <v>0</v>
      </c>
      <c r="F452" s="211">
        <v>0</v>
      </c>
      <c r="G452" s="212">
        <f>+E452*C452</f>
        <v>0</v>
      </c>
      <c r="H452" s="212">
        <f>+F452*C452</f>
        <v>0</v>
      </c>
    </row>
    <row r="453" spans="2:8" hidden="1" outlineLevel="2" x14ac:dyDescent="0.25">
      <c r="B453" s="1" t="s">
        <v>385</v>
      </c>
      <c r="C453" s="191">
        <v>16703.52</v>
      </c>
      <c r="E453" s="211">
        <v>0</v>
      </c>
      <c r="F453" s="211">
        <v>0</v>
      </c>
      <c r="G453" s="212">
        <f>+E453*C453</f>
        <v>0</v>
      </c>
      <c r="H453" s="212">
        <f>+F453*C453</f>
        <v>0</v>
      </c>
    </row>
    <row r="454" spans="2:8" hidden="1" outlineLevel="2" x14ac:dyDescent="0.25">
      <c r="B454" s="1" t="s">
        <v>386</v>
      </c>
      <c r="C454" s="191">
        <v>12885.57</v>
      </c>
      <c r="E454" s="211">
        <v>0</v>
      </c>
      <c r="F454" s="211">
        <v>0</v>
      </c>
      <c r="G454" s="212">
        <f>+E454*C454</f>
        <v>0</v>
      </c>
      <c r="H454" s="212">
        <f>+F454*C454</f>
        <v>0</v>
      </c>
    </row>
    <row r="455" spans="2:8" hidden="1" outlineLevel="2" x14ac:dyDescent="0.25">
      <c r="B455" s="1" t="s">
        <v>387</v>
      </c>
      <c r="C455" s="191">
        <v>32070.75</v>
      </c>
      <c r="E455" s="211">
        <v>0</v>
      </c>
      <c r="F455" s="211">
        <v>0</v>
      </c>
      <c r="G455" s="212">
        <f>+E455*C455</f>
        <v>0</v>
      </c>
      <c r="H455" s="212">
        <f>+F455*C455</f>
        <v>0</v>
      </c>
    </row>
    <row r="456" spans="2:8" hidden="1" outlineLevel="2" x14ac:dyDescent="0.25">
      <c r="B456" s="1" t="s">
        <v>388</v>
      </c>
      <c r="C456" s="191">
        <v>7254.1</v>
      </c>
      <c r="E456" s="211">
        <v>0</v>
      </c>
      <c r="F456" s="211">
        <v>0</v>
      </c>
      <c r="G456" s="212">
        <f>+E456*C456</f>
        <v>0</v>
      </c>
      <c r="H456" s="212">
        <f>+F456*C456</f>
        <v>0</v>
      </c>
    </row>
    <row r="457" spans="2:8" hidden="1" outlineLevel="2" x14ac:dyDescent="0.25">
      <c r="B457" s="1" t="s">
        <v>389</v>
      </c>
      <c r="C457" s="191">
        <v>38656.71</v>
      </c>
      <c r="E457" s="211">
        <v>0</v>
      </c>
      <c r="F457" s="211">
        <v>0</v>
      </c>
      <c r="G457" s="212">
        <f>+E457*C457</f>
        <v>0</v>
      </c>
      <c r="H457" s="212">
        <f>+F457*C457</f>
        <v>0</v>
      </c>
    </row>
    <row r="458" spans="2:8" hidden="1" outlineLevel="2" x14ac:dyDescent="0.25">
      <c r="B458" s="1" t="s">
        <v>390</v>
      </c>
      <c r="C458" s="191">
        <v>6324.91</v>
      </c>
      <c r="E458" s="211">
        <v>0</v>
      </c>
      <c r="F458" s="211">
        <v>0</v>
      </c>
      <c r="G458" s="212">
        <f>+E458*C458</f>
        <v>0</v>
      </c>
      <c r="H458" s="212">
        <f>+F458*C458</f>
        <v>0</v>
      </c>
    </row>
    <row r="459" spans="2:8" hidden="1" outlineLevel="1" collapsed="1" x14ac:dyDescent="0.25">
      <c r="B459" s="207" t="s">
        <v>250</v>
      </c>
      <c r="C459" s="208">
        <v>49448.68</v>
      </c>
      <c r="E459" s="209"/>
      <c r="F459" s="209"/>
      <c r="G459" s="210"/>
      <c r="H459" s="210"/>
    </row>
    <row r="460" spans="2:8" hidden="1" outlineLevel="2" x14ac:dyDescent="0.25">
      <c r="B460" s="1" t="s">
        <v>251</v>
      </c>
      <c r="C460" s="191">
        <v>15449.35</v>
      </c>
      <c r="E460" s="211">
        <v>0</v>
      </c>
      <c r="F460" s="211">
        <v>0</v>
      </c>
      <c r="G460" s="212">
        <f>+E460*C460</f>
        <v>0</v>
      </c>
      <c r="H460" s="212">
        <f>+F460*C460</f>
        <v>0</v>
      </c>
    </row>
    <row r="461" spans="2:8" hidden="1" outlineLevel="2" x14ac:dyDescent="0.25">
      <c r="B461" s="1" t="s">
        <v>391</v>
      </c>
      <c r="C461" s="191">
        <v>3869.74</v>
      </c>
      <c r="E461" s="211">
        <v>0</v>
      </c>
      <c r="F461" s="211">
        <v>0</v>
      </c>
      <c r="G461" s="212">
        <f>+E461*C461</f>
        <v>0</v>
      </c>
      <c r="H461" s="212">
        <f>+F461*C461</f>
        <v>0</v>
      </c>
    </row>
    <row r="462" spans="2:8" hidden="1" outlineLevel="2" x14ac:dyDescent="0.25">
      <c r="B462" s="1" t="s">
        <v>253</v>
      </c>
      <c r="C462" s="191">
        <v>14719.8</v>
      </c>
      <c r="E462" s="211">
        <v>0</v>
      </c>
      <c r="F462" s="211">
        <v>0</v>
      </c>
      <c r="G462" s="212">
        <f>+E462*C462</f>
        <v>0</v>
      </c>
      <c r="H462" s="212">
        <f>+F462*C462</f>
        <v>0</v>
      </c>
    </row>
    <row r="463" spans="2:8" hidden="1" outlineLevel="2" x14ac:dyDescent="0.25">
      <c r="B463" s="1" t="s">
        <v>252</v>
      </c>
      <c r="C463" s="191">
        <v>7359.9</v>
      </c>
      <c r="E463" s="211">
        <v>0</v>
      </c>
      <c r="F463" s="211">
        <v>0</v>
      </c>
      <c r="G463" s="212">
        <f>+E463*C463</f>
        <v>0</v>
      </c>
      <c r="H463" s="212">
        <f>+F463*C463</f>
        <v>0</v>
      </c>
    </row>
    <row r="464" spans="2:8" hidden="1" outlineLevel="2" x14ac:dyDescent="0.25">
      <c r="B464" s="1" t="s">
        <v>392</v>
      </c>
      <c r="C464" s="191">
        <v>8049.89</v>
      </c>
      <c r="E464" s="211">
        <v>0</v>
      </c>
      <c r="F464" s="211">
        <v>0</v>
      </c>
      <c r="G464" s="212">
        <f>+E464*C464</f>
        <v>0</v>
      </c>
      <c r="H464" s="212">
        <f>+F464*C464</f>
        <v>0</v>
      </c>
    </row>
    <row r="465" spans="2:8" hidden="1" outlineLevel="1" collapsed="1" x14ac:dyDescent="0.25">
      <c r="B465" s="207" t="s">
        <v>393</v>
      </c>
      <c r="C465" s="208">
        <v>108723.59</v>
      </c>
      <c r="E465" s="209"/>
      <c r="F465" s="209"/>
      <c r="G465" s="210"/>
      <c r="H465" s="210"/>
    </row>
    <row r="466" spans="2:8" hidden="1" outlineLevel="2" x14ac:dyDescent="0.25">
      <c r="B466" s="1" t="s">
        <v>394</v>
      </c>
      <c r="C466" s="191">
        <v>30552.76</v>
      </c>
      <c r="E466" s="211">
        <v>0</v>
      </c>
      <c r="F466" s="211">
        <v>0</v>
      </c>
      <c r="G466" s="212">
        <f>+E466*C466</f>
        <v>0</v>
      </c>
      <c r="H466" s="212">
        <f>+F466*C466</f>
        <v>0</v>
      </c>
    </row>
    <row r="467" spans="2:8" hidden="1" outlineLevel="2" x14ac:dyDescent="0.25">
      <c r="B467" s="1" t="s">
        <v>395</v>
      </c>
      <c r="C467" s="191">
        <v>38702.99</v>
      </c>
      <c r="E467" s="211">
        <v>0</v>
      </c>
      <c r="F467" s="211">
        <v>0</v>
      </c>
      <c r="G467" s="212">
        <f>+E467*C467</f>
        <v>0</v>
      </c>
      <c r="H467" s="212">
        <f>+F467*C467</f>
        <v>0</v>
      </c>
    </row>
    <row r="468" spans="2:8" hidden="1" outlineLevel="2" x14ac:dyDescent="0.25">
      <c r="B468" s="1" t="s">
        <v>396</v>
      </c>
      <c r="C468" s="191">
        <v>18629.740000000002</v>
      </c>
      <c r="E468" s="211">
        <v>0</v>
      </c>
      <c r="F468" s="211">
        <v>0</v>
      </c>
      <c r="G468" s="212">
        <f>+E468*C468</f>
        <v>0</v>
      </c>
      <c r="H468" s="212">
        <f>+F468*C468</f>
        <v>0</v>
      </c>
    </row>
    <row r="469" spans="2:8" hidden="1" outlineLevel="2" x14ac:dyDescent="0.25">
      <c r="B469" s="1" t="s">
        <v>397</v>
      </c>
      <c r="C469" s="191">
        <v>9290.0300000000007</v>
      </c>
      <c r="E469" s="211">
        <v>0</v>
      </c>
      <c r="F469" s="211">
        <v>0</v>
      </c>
      <c r="G469" s="212">
        <f>+E469*C469</f>
        <v>0</v>
      </c>
      <c r="H469" s="212">
        <f>+F469*C469</f>
        <v>0</v>
      </c>
    </row>
    <row r="470" spans="2:8" hidden="1" outlineLevel="2" x14ac:dyDescent="0.25">
      <c r="B470" s="1" t="s">
        <v>398</v>
      </c>
      <c r="C470" s="191">
        <v>6899.9</v>
      </c>
      <c r="E470" s="211">
        <v>0</v>
      </c>
      <c r="F470" s="211">
        <v>0</v>
      </c>
      <c r="G470" s="212">
        <f>+E470*C470</f>
        <v>0</v>
      </c>
      <c r="H470" s="212">
        <f>+F470*C470</f>
        <v>0</v>
      </c>
    </row>
    <row r="471" spans="2:8" hidden="1" outlineLevel="2" x14ac:dyDescent="0.25">
      <c r="B471" s="1" t="s">
        <v>399</v>
      </c>
      <c r="C471" s="191">
        <v>748.28</v>
      </c>
      <c r="E471" s="211">
        <v>0</v>
      </c>
      <c r="F471" s="211">
        <v>0</v>
      </c>
      <c r="G471" s="212">
        <f>+E471*C471</f>
        <v>0</v>
      </c>
      <c r="H471" s="212">
        <f>+F471*C471</f>
        <v>0</v>
      </c>
    </row>
    <row r="472" spans="2:8" hidden="1" outlineLevel="2" x14ac:dyDescent="0.25">
      <c r="B472" s="1" t="s">
        <v>400</v>
      </c>
      <c r="C472" s="191">
        <v>1519.88</v>
      </c>
      <c r="E472" s="211">
        <v>0</v>
      </c>
      <c r="F472" s="211">
        <v>0</v>
      </c>
      <c r="G472" s="212">
        <f>+E472*C472</f>
        <v>0</v>
      </c>
      <c r="H472" s="212">
        <f>+F472*C472</f>
        <v>0</v>
      </c>
    </row>
    <row r="473" spans="2:8" hidden="1" outlineLevel="2" x14ac:dyDescent="0.25">
      <c r="B473" s="1" t="s">
        <v>401</v>
      </c>
      <c r="C473" s="191">
        <v>2380.0100000000002</v>
      </c>
      <c r="E473" s="211">
        <v>0</v>
      </c>
      <c r="F473" s="211">
        <v>0</v>
      </c>
      <c r="G473" s="212">
        <f>+E473*C473</f>
        <v>0</v>
      </c>
      <c r="H473" s="212">
        <f>+F473*C473</f>
        <v>0</v>
      </c>
    </row>
    <row r="474" spans="2:8" hidden="1" outlineLevel="1" collapsed="1" x14ac:dyDescent="0.25">
      <c r="B474" s="207" t="s">
        <v>255</v>
      </c>
      <c r="C474" s="208">
        <v>104124.45</v>
      </c>
      <c r="E474" s="209"/>
      <c r="F474" s="209"/>
      <c r="G474" s="210"/>
      <c r="H474" s="210"/>
    </row>
    <row r="475" spans="2:8" hidden="1" outlineLevel="2" x14ac:dyDescent="0.25">
      <c r="B475" s="1" t="s">
        <v>256</v>
      </c>
      <c r="C475" s="191">
        <v>12127.73</v>
      </c>
      <c r="E475" s="211">
        <v>0</v>
      </c>
      <c r="F475" s="211">
        <v>0</v>
      </c>
      <c r="G475" s="212">
        <f>+E475*C475</f>
        <v>0</v>
      </c>
      <c r="H475" s="212">
        <f>+F475*C475</f>
        <v>0</v>
      </c>
    </row>
    <row r="476" spans="2:8" hidden="1" outlineLevel="2" x14ac:dyDescent="0.25">
      <c r="B476" s="1" t="s">
        <v>258</v>
      </c>
      <c r="C476" s="191">
        <v>3363.66</v>
      </c>
      <c r="E476" s="211">
        <v>0</v>
      </c>
      <c r="F476" s="211">
        <v>0</v>
      </c>
      <c r="G476" s="212">
        <f>+E476*C476</f>
        <v>0</v>
      </c>
      <c r="H476" s="212">
        <f>+F476*C476</f>
        <v>0</v>
      </c>
    </row>
    <row r="477" spans="2:8" hidden="1" outlineLevel="2" x14ac:dyDescent="0.25">
      <c r="B477" s="1" t="s">
        <v>259</v>
      </c>
      <c r="C477" s="191">
        <v>1950.38</v>
      </c>
      <c r="E477" s="211">
        <v>0</v>
      </c>
      <c r="F477" s="211">
        <v>0</v>
      </c>
      <c r="G477" s="212">
        <f>+E477*C477</f>
        <v>0</v>
      </c>
      <c r="H477" s="212">
        <f>+F477*C477</f>
        <v>0</v>
      </c>
    </row>
    <row r="478" spans="2:8" hidden="1" outlineLevel="2" x14ac:dyDescent="0.25">
      <c r="B478" s="1" t="s">
        <v>260</v>
      </c>
      <c r="C478" s="191">
        <v>6835.52</v>
      </c>
      <c r="E478" s="211">
        <v>0</v>
      </c>
      <c r="F478" s="211">
        <v>0</v>
      </c>
      <c r="G478" s="212">
        <f>+E478*C478</f>
        <v>0</v>
      </c>
      <c r="H478" s="212">
        <f>+F478*C478</f>
        <v>0</v>
      </c>
    </row>
    <row r="479" spans="2:8" hidden="1" outlineLevel="2" x14ac:dyDescent="0.25">
      <c r="B479" s="1" t="s">
        <v>262</v>
      </c>
      <c r="C479" s="191">
        <v>4973.84</v>
      </c>
      <c r="E479" s="211">
        <v>0</v>
      </c>
      <c r="F479" s="211">
        <v>0</v>
      </c>
      <c r="G479" s="212">
        <f>+E479*C479</f>
        <v>0</v>
      </c>
      <c r="H479" s="212">
        <f>+F479*C479</f>
        <v>0</v>
      </c>
    </row>
    <row r="480" spans="2:8" hidden="1" outlineLevel="2" x14ac:dyDescent="0.25">
      <c r="B480" s="1" t="s">
        <v>263</v>
      </c>
      <c r="C480" s="191">
        <v>7460.76</v>
      </c>
      <c r="E480" s="211">
        <v>0</v>
      </c>
      <c r="F480" s="211">
        <v>0</v>
      </c>
      <c r="G480" s="212">
        <f>+E480*C480</f>
        <v>0</v>
      </c>
      <c r="H480" s="212">
        <f>+F480*C480</f>
        <v>0</v>
      </c>
    </row>
    <row r="481" spans="2:8" hidden="1" outlineLevel="2" x14ac:dyDescent="0.25">
      <c r="B481" s="1" t="s">
        <v>264</v>
      </c>
      <c r="C481" s="191">
        <v>27397.71</v>
      </c>
      <c r="E481" s="211">
        <v>0</v>
      </c>
      <c r="F481" s="211">
        <v>0</v>
      </c>
      <c r="G481" s="212">
        <f>+E481*C481</f>
        <v>0</v>
      </c>
      <c r="H481" s="212">
        <f>+F481*C481</f>
        <v>0</v>
      </c>
    </row>
    <row r="482" spans="2:8" hidden="1" outlineLevel="2" x14ac:dyDescent="0.25">
      <c r="B482" s="1" t="s">
        <v>402</v>
      </c>
      <c r="C482" s="191">
        <v>3461.84</v>
      </c>
      <c r="E482" s="211">
        <v>0</v>
      </c>
      <c r="F482" s="211">
        <v>0</v>
      </c>
      <c r="G482" s="212">
        <f>+E482*C482</f>
        <v>0</v>
      </c>
      <c r="H482" s="212">
        <f>+F482*C482</f>
        <v>0</v>
      </c>
    </row>
    <row r="483" spans="2:8" hidden="1" outlineLevel="2" x14ac:dyDescent="0.25">
      <c r="B483" s="1" t="s">
        <v>266</v>
      </c>
      <c r="C483" s="191">
        <v>3911.4</v>
      </c>
      <c r="E483" s="211">
        <v>0</v>
      </c>
      <c r="F483" s="211">
        <v>0</v>
      </c>
      <c r="G483" s="212">
        <f>+E483*C483</f>
        <v>0</v>
      </c>
      <c r="H483" s="212">
        <f>+F483*C483</f>
        <v>0</v>
      </c>
    </row>
    <row r="484" spans="2:8" hidden="1" outlineLevel="2" x14ac:dyDescent="0.25">
      <c r="B484" s="1" t="s">
        <v>267</v>
      </c>
      <c r="C484" s="191">
        <v>20762.55</v>
      </c>
      <c r="E484" s="211">
        <v>0</v>
      </c>
      <c r="F484" s="211">
        <v>0</v>
      </c>
      <c r="G484" s="212">
        <f>+E484*C484</f>
        <v>0</v>
      </c>
      <c r="H484" s="212">
        <f>+F484*C484</f>
        <v>0</v>
      </c>
    </row>
    <row r="485" spans="2:8" hidden="1" outlineLevel="2" x14ac:dyDescent="0.25">
      <c r="B485" s="1" t="s">
        <v>268</v>
      </c>
      <c r="C485" s="191">
        <v>2863.8</v>
      </c>
      <c r="E485" s="211">
        <v>0</v>
      </c>
      <c r="F485" s="211">
        <v>0</v>
      </c>
      <c r="G485" s="212">
        <f>+E485*C485</f>
        <v>0</v>
      </c>
      <c r="H485" s="212">
        <f>+F485*C485</f>
        <v>0</v>
      </c>
    </row>
    <row r="486" spans="2:8" hidden="1" outlineLevel="2" x14ac:dyDescent="0.25">
      <c r="B486" s="1" t="s">
        <v>269</v>
      </c>
      <c r="C486" s="191">
        <v>3432.1</v>
      </c>
      <c r="E486" s="211">
        <v>0</v>
      </c>
      <c r="F486" s="211">
        <v>0</v>
      </c>
      <c r="G486" s="212">
        <f>+E486*C486</f>
        <v>0</v>
      </c>
      <c r="H486" s="212">
        <f>+F486*C486</f>
        <v>0</v>
      </c>
    </row>
    <row r="487" spans="2:8" hidden="1" outlineLevel="2" x14ac:dyDescent="0.25">
      <c r="B487" s="1" t="s">
        <v>270</v>
      </c>
      <c r="C487" s="191">
        <v>1908.96</v>
      </c>
      <c r="E487" s="211">
        <v>0</v>
      </c>
      <c r="F487" s="211">
        <v>0</v>
      </c>
      <c r="G487" s="212">
        <f>+E487*C487</f>
        <v>0</v>
      </c>
      <c r="H487" s="212">
        <f>+F487*C487</f>
        <v>0</v>
      </c>
    </row>
    <row r="488" spans="2:8" hidden="1" outlineLevel="2" x14ac:dyDescent="0.25">
      <c r="B488" s="1" t="s">
        <v>271</v>
      </c>
      <c r="C488" s="191">
        <v>3674.2</v>
      </c>
      <c r="E488" s="211">
        <v>0</v>
      </c>
      <c r="F488" s="211">
        <v>0</v>
      </c>
      <c r="G488" s="212">
        <f>+E488*C488</f>
        <v>0</v>
      </c>
      <c r="H488" s="212">
        <f>+F488*C488</f>
        <v>0</v>
      </c>
    </row>
    <row r="489" spans="2:8" hidden="1" outlineLevel="1" collapsed="1" x14ac:dyDescent="0.25">
      <c r="B489" s="207" t="s">
        <v>273</v>
      </c>
      <c r="C489" s="208">
        <v>60690.93</v>
      </c>
      <c r="E489" s="209"/>
      <c r="F489" s="209"/>
      <c r="G489" s="210"/>
      <c r="H489" s="210"/>
    </row>
    <row r="490" spans="2:8" hidden="1" outlineLevel="2" x14ac:dyDescent="0.25">
      <c r="B490" s="1" t="s">
        <v>403</v>
      </c>
      <c r="C490" s="191">
        <v>5970.02</v>
      </c>
      <c r="E490" s="211">
        <v>0</v>
      </c>
      <c r="F490" s="211">
        <v>0</v>
      </c>
      <c r="G490" s="212">
        <f>+E490*C490</f>
        <v>0</v>
      </c>
      <c r="H490" s="212">
        <f>+F490*C490</f>
        <v>0</v>
      </c>
    </row>
    <row r="491" spans="2:8" hidden="1" outlineLevel="2" x14ac:dyDescent="0.25">
      <c r="B491" s="1" t="s">
        <v>404</v>
      </c>
      <c r="C491" s="191">
        <v>3607.47</v>
      </c>
      <c r="E491" s="211">
        <v>0</v>
      </c>
      <c r="F491" s="211">
        <v>0</v>
      </c>
      <c r="G491" s="212">
        <f>+E491*C491</f>
        <v>0</v>
      </c>
      <c r="H491" s="212">
        <f>+F491*C491</f>
        <v>0</v>
      </c>
    </row>
    <row r="492" spans="2:8" hidden="1" outlineLevel="2" x14ac:dyDescent="0.25">
      <c r="B492" s="1" t="s">
        <v>405</v>
      </c>
      <c r="C492" s="191">
        <v>7359.88</v>
      </c>
      <c r="E492" s="211">
        <v>0</v>
      </c>
      <c r="F492" s="211">
        <v>0</v>
      </c>
      <c r="G492" s="212">
        <f>+E492*C492</f>
        <v>0</v>
      </c>
      <c r="H492" s="212">
        <f>+F492*C492</f>
        <v>0</v>
      </c>
    </row>
    <row r="493" spans="2:8" hidden="1" outlineLevel="2" x14ac:dyDescent="0.25">
      <c r="B493" s="1" t="s">
        <v>275</v>
      </c>
      <c r="C493" s="191">
        <v>1322.48</v>
      </c>
      <c r="E493" s="211">
        <v>0</v>
      </c>
      <c r="F493" s="211">
        <v>0</v>
      </c>
      <c r="G493" s="212">
        <f>+E493*C493</f>
        <v>0</v>
      </c>
      <c r="H493" s="212">
        <f>+F493*C493</f>
        <v>0</v>
      </c>
    </row>
    <row r="494" spans="2:8" hidden="1" outlineLevel="2" x14ac:dyDescent="0.25">
      <c r="B494" s="1" t="s">
        <v>276</v>
      </c>
      <c r="C494" s="191">
        <v>786.65</v>
      </c>
      <c r="E494" s="211">
        <v>0</v>
      </c>
      <c r="F494" s="211">
        <v>0</v>
      </c>
      <c r="G494" s="212">
        <f>+E494*C494</f>
        <v>0</v>
      </c>
      <c r="H494" s="212">
        <f>+F494*C494</f>
        <v>0</v>
      </c>
    </row>
    <row r="495" spans="2:8" hidden="1" outlineLevel="2" x14ac:dyDescent="0.25">
      <c r="B495" s="1" t="s">
        <v>277</v>
      </c>
      <c r="C495" s="191">
        <v>1545.82</v>
      </c>
      <c r="E495" s="211">
        <v>0</v>
      </c>
      <c r="F495" s="211">
        <v>0</v>
      </c>
      <c r="G495" s="212">
        <f>+E495*C495</f>
        <v>0</v>
      </c>
      <c r="H495" s="212">
        <f>+F495*C495</f>
        <v>0</v>
      </c>
    </row>
    <row r="496" spans="2:8" hidden="1" outlineLevel="2" x14ac:dyDescent="0.25">
      <c r="B496" s="1" t="s">
        <v>278</v>
      </c>
      <c r="C496" s="191">
        <v>431.48</v>
      </c>
      <c r="E496" s="211">
        <v>0</v>
      </c>
      <c r="F496" s="211">
        <v>0</v>
      </c>
      <c r="G496" s="212">
        <f>+E496*C496</f>
        <v>0</v>
      </c>
      <c r="H496" s="212">
        <f>+F496*C496</f>
        <v>0</v>
      </c>
    </row>
    <row r="497" spans="2:8" hidden="1" outlineLevel="2" x14ac:dyDescent="0.25">
      <c r="B497" s="1" t="s">
        <v>279</v>
      </c>
      <c r="C497" s="191">
        <v>4637.46</v>
      </c>
      <c r="E497" s="211">
        <v>0</v>
      </c>
      <c r="F497" s="211">
        <v>0</v>
      </c>
      <c r="G497" s="212">
        <f>+E497*C497</f>
        <v>0</v>
      </c>
      <c r="H497" s="212">
        <f>+F497*C497</f>
        <v>0</v>
      </c>
    </row>
    <row r="498" spans="2:8" hidden="1" outlineLevel="2" x14ac:dyDescent="0.25">
      <c r="B498" s="1" t="s">
        <v>280</v>
      </c>
      <c r="C498" s="191">
        <v>0</v>
      </c>
      <c r="E498" s="211">
        <v>0</v>
      </c>
      <c r="F498" s="211">
        <v>0</v>
      </c>
      <c r="G498" s="212">
        <f>+E498*C498</f>
        <v>0</v>
      </c>
      <c r="H498" s="212">
        <f>+F498*C498</f>
        <v>0</v>
      </c>
    </row>
    <row r="499" spans="2:8" hidden="1" outlineLevel="2" x14ac:dyDescent="0.25">
      <c r="B499" s="1" t="s">
        <v>281</v>
      </c>
      <c r="C499" s="191">
        <v>1865.46</v>
      </c>
      <c r="E499" s="211">
        <v>0</v>
      </c>
      <c r="F499" s="211">
        <v>0</v>
      </c>
      <c r="G499" s="212">
        <f>+E499*C499</f>
        <v>0</v>
      </c>
      <c r="H499" s="212">
        <f>+F499*C499</f>
        <v>0</v>
      </c>
    </row>
    <row r="500" spans="2:8" hidden="1" outlineLevel="2" x14ac:dyDescent="0.25">
      <c r="B500" s="1" t="s">
        <v>282</v>
      </c>
      <c r="C500" s="191">
        <v>711.4</v>
      </c>
      <c r="E500" s="211">
        <v>0</v>
      </c>
      <c r="F500" s="211">
        <v>0</v>
      </c>
      <c r="G500" s="212">
        <f>+E500*C500</f>
        <v>0</v>
      </c>
      <c r="H500" s="212">
        <f>+F500*C500</f>
        <v>0</v>
      </c>
    </row>
    <row r="501" spans="2:8" hidden="1" outlineLevel="2" x14ac:dyDescent="0.25">
      <c r="B501" s="1" t="s">
        <v>283</v>
      </c>
      <c r="C501" s="191">
        <v>564.32000000000005</v>
      </c>
      <c r="E501" s="211">
        <v>0</v>
      </c>
      <c r="F501" s="211">
        <v>0</v>
      </c>
      <c r="G501" s="212">
        <f>+E501*C501</f>
        <v>0</v>
      </c>
      <c r="H501" s="212">
        <f>+F501*C501</f>
        <v>0</v>
      </c>
    </row>
    <row r="502" spans="2:8" hidden="1" outlineLevel="2" x14ac:dyDescent="0.25">
      <c r="B502" s="1" t="s">
        <v>284</v>
      </c>
      <c r="C502" s="191">
        <v>1422.8</v>
      </c>
      <c r="E502" s="211">
        <v>0</v>
      </c>
      <c r="F502" s="211">
        <v>0</v>
      </c>
      <c r="G502" s="212">
        <f>+E502*C502</f>
        <v>0</v>
      </c>
      <c r="H502" s="212">
        <f>+F502*C502</f>
        <v>0</v>
      </c>
    </row>
    <row r="503" spans="2:8" hidden="1" outlineLevel="2" x14ac:dyDescent="0.25">
      <c r="B503" s="1" t="s">
        <v>285</v>
      </c>
      <c r="C503" s="191">
        <v>564.32000000000005</v>
      </c>
      <c r="E503" s="211">
        <v>0</v>
      </c>
      <c r="F503" s="211">
        <v>0</v>
      </c>
      <c r="G503" s="212">
        <f>+E503*C503</f>
        <v>0</v>
      </c>
      <c r="H503" s="212">
        <f>+F503*C503</f>
        <v>0</v>
      </c>
    </row>
    <row r="504" spans="2:8" hidden="1" outlineLevel="2" x14ac:dyDescent="0.25">
      <c r="B504" s="1" t="s">
        <v>286</v>
      </c>
      <c r="C504" s="191">
        <v>2845.6</v>
      </c>
      <c r="E504" s="211">
        <v>0</v>
      </c>
      <c r="F504" s="211">
        <v>0</v>
      </c>
      <c r="G504" s="212">
        <f>+E504*C504</f>
        <v>0</v>
      </c>
      <c r="H504" s="212">
        <f>+F504*C504</f>
        <v>0</v>
      </c>
    </row>
    <row r="505" spans="2:8" hidden="1" outlineLevel="2" x14ac:dyDescent="0.25">
      <c r="B505" s="1" t="s">
        <v>287</v>
      </c>
      <c r="C505" s="191">
        <v>1185</v>
      </c>
      <c r="E505" s="211">
        <v>0</v>
      </c>
      <c r="F505" s="211">
        <v>0</v>
      </c>
      <c r="G505" s="212">
        <f>+E505*C505</f>
        <v>0</v>
      </c>
      <c r="H505" s="212">
        <f>+F505*C505</f>
        <v>0</v>
      </c>
    </row>
    <row r="506" spans="2:8" hidden="1" outlineLevel="2" x14ac:dyDescent="0.25">
      <c r="B506" s="1" t="s">
        <v>288</v>
      </c>
      <c r="C506" s="191">
        <v>1765.02</v>
      </c>
      <c r="E506" s="211">
        <v>0</v>
      </c>
      <c r="F506" s="211">
        <v>0</v>
      </c>
      <c r="G506" s="212">
        <f>+E506*C506</f>
        <v>0</v>
      </c>
      <c r="H506" s="212">
        <f>+F506*C506</f>
        <v>0</v>
      </c>
    </row>
    <row r="507" spans="2:8" hidden="1" outlineLevel="2" x14ac:dyDescent="0.25">
      <c r="B507" s="1" t="s">
        <v>289</v>
      </c>
      <c r="C507" s="191">
        <v>2271.96</v>
      </c>
      <c r="E507" s="211">
        <v>0</v>
      </c>
      <c r="F507" s="211">
        <v>0</v>
      </c>
      <c r="G507" s="212">
        <f>+E507*C507</f>
        <v>0</v>
      </c>
      <c r="H507" s="212">
        <f>+F507*C507</f>
        <v>0</v>
      </c>
    </row>
    <row r="508" spans="2:8" hidden="1" outlineLevel="2" x14ac:dyDescent="0.25">
      <c r="B508" s="1" t="s">
        <v>290</v>
      </c>
      <c r="C508" s="191">
        <v>1176.68</v>
      </c>
      <c r="E508" s="211">
        <v>0</v>
      </c>
      <c r="F508" s="211">
        <v>0</v>
      </c>
      <c r="G508" s="212">
        <f>+E508*C508</f>
        <v>0</v>
      </c>
      <c r="H508" s="212">
        <f>+F508*C508</f>
        <v>0</v>
      </c>
    </row>
    <row r="509" spans="2:8" hidden="1" outlineLevel="2" x14ac:dyDescent="0.25">
      <c r="B509" s="1" t="s">
        <v>291</v>
      </c>
      <c r="C509" s="191">
        <v>592.5</v>
      </c>
      <c r="E509" s="211">
        <v>0</v>
      </c>
      <c r="F509" s="211">
        <v>0</v>
      </c>
      <c r="G509" s="212">
        <f>+E509*C509</f>
        <v>0</v>
      </c>
      <c r="H509" s="212">
        <f>+F509*C509</f>
        <v>0</v>
      </c>
    </row>
    <row r="510" spans="2:8" hidden="1" outlineLevel="2" x14ac:dyDescent="0.25">
      <c r="B510" s="1" t="s">
        <v>292</v>
      </c>
      <c r="C510" s="191">
        <v>4417.83</v>
      </c>
      <c r="E510" s="211">
        <v>0</v>
      </c>
      <c r="F510" s="211">
        <v>0</v>
      </c>
      <c r="G510" s="212">
        <f>+E510*C510</f>
        <v>0</v>
      </c>
      <c r="H510" s="212">
        <f>+F510*C510</f>
        <v>0</v>
      </c>
    </row>
    <row r="511" spans="2:8" hidden="1" outlineLevel="2" x14ac:dyDescent="0.25">
      <c r="B511" s="1" t="s">
        <v>293</v>
      </c>
      <c r="C511" s="191">
        <v>2656.08</v>
      </c>
      <c r="E511" s="211">
        <v>0</v>
      </c>
      <c r="F511" s="211">
        <v>0</v>
      </c>
      <c r="G511" s="212">
        <f>+E511*C511</f>
        <v>0</v>
      </c>
      <c r="H511" s="212">
        <f>+F511*C511</f>
        <v>0</v>
      </c>
    </row>
    <row r="512" spans="2:8" hidden="1" outlineLevel="2" x14ac:dyDescent="0.25">
      <c r="B512" s="1" t="s">
        <v>294</v>
      </c>
      <c r="C512" s="191">
        <v>5226.34</v>
      </c>
      <c r="E512" s="211">
        <v>0</v>
      </c>
      <c r="F512" s="211">
        <v>0</v>
      </c>
      <c r="G512" s="212">
        <f>+E512*C512</f>
        <v>0</v>
      </c>
      <c r="H512" s="212">
        <f>+F512*C512</f>
        <v>0</v>
      </c>
    </row>
    <row r="513" spans="2:8" hidden="1" outlineLevel="2" x14ac:dyDescent="0.25">
      <c r="B513" s="1" t="s">
        <v>406</v>
      </c>
      <c r="C513" s="191">
        <v>1306.58</v>
      </c>
      <c r="E513" s="211">
        <v>0</v>
      </c>
      <c r="F513" s="211">
        <v>0</v>
      </c>
      <c r="G513" s="212">
        <f>+E513*C513</f>
        <v>0</v>
      </c>
      <c r="H513" s="212">
        <f>+F513*C513</f>
        <v>0</v>
      </c>
    </row>
    <row r="514" spans="2:8" hidden="1" outlineLevel="2" x14ac:dyDescent="0.25">
      <c r="B514" s="1" t="s">
        <v>407</v>
      </c>
      <c r="C514" s="191">
        <v>287.5</v>
      </c>
      <c r="E514" s="211">
        <v>0</v>
      </c>
      <c r="F514" s="211">
        <v>0</v>
      </c>
      <c r="G514" s="212">
        <f>+E514*C514</f>
        <v>0</v>
      </c>
      <c r="H514" s="212">
        <f>+F514*C514</f>
        <v>0</v>
      </c>
    </row>
    <row r="515" spans="2:8" hidden="1" outlineLevel="2" x14ac:dyDescent="0.25">
      <c r="B515" s="1" t="s">
        <v>408</v>
      </c>
      <c r="C515" s="191">
        <v>287.5</v>
      </c>
      <c r="E515" s="211">
        <v>0</v>
      </c>
      <c r="F515" s="211">
        <v>0</v>
      </c>
      <c r="G515" s="212">
        <f>+E515*C515</f>
        <v>0</v>
      </c>
      <c r="H515" s="212">
        <f>+F515*C515</f>
        <v>0</v>
      </c>
    </row>
    <row r="516" spans="2:8" hidden="1" outlineLevel="2" x14ac:dyDescent="0.25">
      <c r="B516" s="1" t="s">
        <v>409</v>
      </c>
      <c r="C516" s="191">
        <v>2157.4</v>
      </c>
      <c r="E516" s="211">
        <v>0</v>
      </c>
      <c r="F516" s="211">
        <v>0</v>
      </c>
      <c r="G516" s="212">
        <f>+E516*C516</f>
        <v>0</v>
      </c>
      <c r="H516" s="212">
        <f>+F516*C516</f>
        <v>0</v>
      </c>
    </row>
    <row r="517" spans="2:8" hidden="1" outlineLevel="2" x14ac:dyDescent="0.25">
      <c r="B517" s="1" t="s">
        <v>410</v>
      </c>
      <c r="C517" s="191">
        <v>2318.73</v>
      </c>
      <c r="E517" s="211">
        <v>0</v>
      </c>
      <c r="F517" s="211">
        <v>0</v>
      </c>
      <c r="G517" s="212">
        <f>+E517*C517</f>
        <v>0</v>
      </c>
      <c r="H517" s="212">
        <f>+F517*C517</f>
        <v>0</v>
      </c>
    </row>
    <row r="518" spans="2:8" hidden="1" outlineLevel="2" x14ac:dyDescent="0.25">
      <c r="B518" s="1" t="s">
        <v>295</v>
      </c>
      <c r="C518" s="191">
        <v>663.84</v>
      </c>
      <c r="E518" s="211">
        <v>0</v>
      </c>
      <c r="F518" s="211">
        <v>0</v>
      </c>
      <c r="G518" s="212">
        <f>+E518*C518</f>
        <v>0</v>
      </c>
      <c r="H518" s="212">
        <f>+F518*C518</f>
        <v>0</v>
      </c>
    </row>
    <row r="519" spans="2:8" hidden="1" outlineLevel="2" x14ac:dyDescent="0.25">
      <c r="B519" s="1" t="s">
        <v>296</v>
      </c>
      <c r="C519" s="191">
        <v>742.81</v>
      </c>
      <c r="E519" s="211">
        <v>0</v>
      </c>
      <c r="F519" s="211">
        <v>0</v>
      </c>
      <c r="G519" s="212">
        <f>+E519*C519</f>
        <v>0</v>
      </c>
      <c r="H519" s="212">
        <f>+F519*C519</f>
        <v>0</v>
      </c>
    </row>
    <row r="520" spans="2:8" hidden="1" outlineLevel="1" collapsed="1" x14ac:dyDescent="0.25">
      <c r="B520" s="207" t="s">
        <v>297</v>
      </c>
      <c r="C520" s="208">
        <v>12289.42</v>
      </c>
      <c r="E520" s="209"/>
      <c r="F520" s="209"/>
      <c r="G520" s="210"/>
      <c r="H520" s="210"/>
    </row>
    <row r="521" spans="2:8" hidden="1" outlineLevel="2" x14ac:dyDescent="0.25">
      <c r="B521" s="1" t="s">
        <v>298</v>
      </c>
      <c r="C521" s="191">
        <v>11607.8</v>
      </c>
      <c r="E521" s="211">
        <v>0</v>
      </c>
      <c r="F521" s="211">
        <v>0</v>
      </c>
      <c r="G521" s="212">
        <f>+E521*C521</f>
        <v>0</v>
      </c>
      <c r="H521" s="212">
        <f>+F521*C521</f>
        <v>0</v>
      </c>
    </row>
    <row r="522" spans="2:8" hidden="1" outlineLevel="2" x14ac:dyDescent="0.25">
      <c r="B522" s="1" t="s">
        <v>107</v>
      </c>
      <c r="C522" s="191">
        <v>681.62</v>
      </c>
      <c r="E522" s="211">
        <v>0</v>
      </c>
      <c r="F522" s="211">
        <v>0</v>
      </c>
      <c r="G522" s="212">
        <f>+E522*C522</f>
        <v>0</v>
      </c>
      <c r="H522" s="212">
        <f>+F522*C522</f>
        <v>0</v>
      </c>
    </row>
    <row r="523" spans="2:8" hidden="1" outlineLevel="1" collapsed="1" x14ac:dyDescent="0.25">
      <c r="B523" s="207" t="s">
        <v>299</v>
      </c>
      <c r="C523" s="208">
        <v>47416.79</v>
      </c>
      <c r="E523" s="209"/>
      <c r="F523" s="209"/>
      <c r="G523" s="210"/>
      <c r="H523" s="210"/>
    </row>
    <row r="524" spans="2:8" hidden="1" outlineLevel="2" x14ac:dyDescent="0.25">
      <c r="B524" s="1" t="s">
        <v>411</v>
      </c>
      <c r="C524" s="191">
        <v>13692.87</v>
      </c>
      <c r="E524" s="211">
        <v>0</v>
      </c>
      <c r="F524" s="211">
        <v>0</v>
      </c>
      <c r="G524" s="212">
        <f>+E524*C524</f>
        <v>0</v>
      </c>
      <c r="H524" s="212">
        <f>+F524*C524</f>
        <v>0</v>
      </c>
    </row>
    <row r="525" spans="2:8" hidden="1" outlineLevel="2" x14ac:dyDescent="0.25">
      <c r="B525" s="1" t="s">
        <v>412</v>
      </c>
      <c r="C525" s="191">
        <v>1447.83</v>
      </c>
      <c r="E525" s="211">
        <v>0</v>
      </c>
      <c r="F525" s="211">
        <v>0</v>
      </c>
      <c r="G525" s="212">
        <f>+E525*C525</f>
        <v>0</v>
      </c>
      <c r="H525" s="212">
        <f>+F525*C525</f>
        <v>0</v>
      </c>
    </row>
    <row r="526" spans="2:8" hidden="1" outlineLevel="2" x14ac:dyDescent="0.25">
      <c r="B526" s="1" t="s">
        <v>413</v>
      </c>
      <c r="C526" s="191">
        <v>7359.9</v>
      </c>
      <c r="E526" s="211">
        <v>0</v>
      </c>
      <c r="F526" s="211">
        <v>0</v>
      </c>
      <c r="G526" s="212">
        <f>+E526*C526</f>
        <v>0</v>
      </c>
      <c r="H526" s="212">
        <f>+F526*C526</f>
        <v>0</v>
      </c>
    </row>
    <row r="527" spans="2:8" hidden="1" outlineLevel="2" x14ac:dyDescent="0.25">
      <c r="B527" s="1" t="s">
        <v>414</v>
      </c>
      <c r="C527" s="191">
        <v>5979.92</v>
      </c>
      <c r="E527" s="211">
        <v>0</v>
      </c>
      <c r="F527" s="211">
        <v>0</v>
      </c>
      <c r="G527" s="212">
        <f>+E527*C527</f>
        <v>0</v>
      </c>
      <c r="H527" s="212">
        <f>+F527*C527</f>
        <v>0</v>
      </c>
    </row>
    <row r="528" spans="2:8" hidden="1" outlineLevel="2" x14ac:dyDescent="0.25">
      <c r="B528" s="1" t="s">
        <v>415</v>
      </c>
      <c r="C528" s="191">
        <v>3255.54</v>
      </c>
      <c r="E528" s="211">
        <v>0</v>
      </c>
      <c r="F528" s="211">
        <v>0</v>
      </c>
      <c r="G528" s="212">
        <f>+E528*C528</f>
        <v>0</v>
      </c>
      <c r="H528" s="212">
        <f>+F528*C528</f>
        <v>0</v>
      </c>
    </row>
    <row r="529" spans="2:8" hidden="1" outlineLevel="2" x14ac:dyDescent="0.25">
      <c r="B529" s="1" t="s">
        <v>416</v>
      </c>
      <c r="C529" s="191">
        <v>4242.66</v>
      </c>
      <c r="E529" s="211">
        <v>0</v>
      </c>
      <c r="F529" s="211">
        <v>0</v>
      </c>
      <c r="G529" s="212">
        <f>+E529*C529</f>
        <v>0</v>
      </c>
      <c r="H529" s="212">
        <f>+F529*C529</f>
        <v>0</v>
      </c>
    </row>
    <row r="530" spans="2:8" hidden="1" outlineLevel="2" x14ac:dyDescent="0.25">
      <c r="B530" s="1" t="s">
        <v>417</v>
      </c>
      <c r="C530" s="191">
        <v>5242.8599999999997</v>
      </c>
      <c r="E530" s="211">
        <v>0</v>
      </c>
      <c r="F530" s="211">
        <v>0</v>
      </c>
      <c r="G530" s="212">
        <f>+E530*C530</f>
        <v>0</v>
      </c>
      <c r="H530" s="212">
        <f>+F530*C530</f>
        <v>0</v>
      </c>
    </row>
    <row r="531" spans="2:8" hidden="1" outlineLevel="2" x14ac:dyDescent="0.25">
      <c r="B531" s="1" t="s">
        <v>418</v>
      </c>
      <c r="C531" s="191">
        <v>4950.6899999999996</v>
      </c>
      <c r="E531" s="211">
        <v>0</v>
      </c>
      <c r="F531" s="211">
        <v>0</v>
      </c>
      <c r="G531" s="212">
        <f>+E531*C531</f>
        <v>0</v>
      </c>
      <c r="H531" s="212">
        <f>+F531*C531</f>
        <v>0</v>
      </c>
    </row>
    <row r="532" spans="2:8" hidden="1" outlineLevel="2" x14ac:dyDescent="0.25">
      <c r="B532" s="1" t="s">
        <v>419</v>
      </c>
      <c r="C532" s="191">
        <v>1244.52</v>
      </c>
      <c r="E532" s="211">
        <v>0</v>
      </c>
      <c r="F532" s="211">
        <v>0</v>
      </c>
      <c r="G532" s="212">
        <f>+E532*C532</f>
        <v>0</v>
      </c>
      <c r="H532" s="212">
        <f>+F532*C532</f>
        <v>0</v>
      </c>
    </row>
    <row r="533" spans="2:8" hidden="1" outlineLevel="1" collapsed="1" x14ac:dyDescent="0.25">
      <c r="B533" s="207" t="s">
        <v>308</v>
      </c>
      <c r="C533" s="208">
        <v>34791.15</v>
      </c>
      <c r="E533" s="209"/>
      <c r="F533" s="209"/>
      <c r="G533" s="210"/>
      <c r="H533" s="210"/>
    </row>
    <row r="534" spans="2:8" hidden="1" outlineLevel="2" x14ac:dyDescent="0.25">
      <c r="B534" s="1" t="s">
        <v>309</v>
      </c>
      <c r="C534" s="191">
        <v>1197.02</v>
      </c>
      <c r="E534" s="211">
        <v>0</v>
      </c>
      <c r="F534" s="211">
        <v>0</v>
      </c>
      <c r="G534" s="212">
        <f>+E534*C534</f>
        <v>0</v>
      </c>
      <c r="H534" s="212">
        <f>+F534*C534</f>
        <v>0</v>
      </c>
    </row>
    <row r="535" spans="2:8" hidden="1" outlineLevel="2" x14ac:dyDescent="0.25">
      <c r="B535" s="1" t="s">
        <v>310</v>
      </c>
      <c r="C535" s="191">
        <v>1437.48</v>
      </c>
      <c r="E535" s="211">
        <v>0</v>
      </c>
      <c r="F535" s="211">
        <v>0</v>
      </c>
      <c r="G535" s="212">
        <f>+E535*C535</f>
        <v>0</v>
      </c>
      <c r="H535" s="212">
        <f>+F535*C535</f>
        <v>0</v>
      </c>
    </row>
    <row r="536" spans="2:8" hidden="1" outlineLevel="2" x14ac:dyDescent="0.25">
      <c r="B536" s="1" t="s">
        <v>311</v>
      </c>
      <c r="C536" s="191">
        <v>431.24</v>
      </c>
      <c r="E536" s="211">
        <v>0</v>
      </c>
      <c r="F536" s="211">
        <v>0</v>
      </c>
      <c r="G536" s="212">
        <f>+E536*C536</f>
        <v>0</v>
      </c>
      <c r="H536" s="212">
        <f>+F536*C536</f>
        <v>0</v>
      </c>
    </row>
    <row r="537" spans="2:8" hidden="1" outlineLevel="2" x14ac:dyDescent="0.25">
      <c r="B537" s="1" t="s">
        <v>312</v>
      </c>
      <c r="C537" s="191">
        <v>7647.39</v>
      </c>
      <c r="E537" s="211">
        <v>0</v>
      </c>
      <c r="F537" s="211">
        <v>0</v>
      </c>
      <c r="G537" s="212">
        <f>+E537*C537</f>
        <v>0</v>
      </c>
      <c r="H537" s="212">
        <f>+F537*C537</f>
        <v>0</v>
      </c>
    </row>
    <row r="538" spans="2:8" hidden="1" outlineLevel="2" x14ac:dyDescent="0.25">
      <c r="B538" s="1" t="s">
        <v>313</v>
      </c>
      <c r="C538" s="191">
        <v>10349.86</v>
      </c>
      <c r="E538" s="211">
        <v>0</v>
      </c>
      <c r="F538" s="211">
        <v>0</v>
      </c>
      <c r="G538" s="212">
        <f>+E538*C538</f>
        <v>0</v>
      </c>
      <c r="H538" s="212">
        <f>+F538*C538</f>
        <v>0</v>
      </c>
    </row>
    <row r="539" spans="2:8" hidden="1" outlineLevel="2" x14ac:dyDescent="0.25">
      <c r="B539" s="1" t="s">
        <v>314</v>
      </c>
      <c r="C539" s="191">
        <v>13728.16</v>
      </c>
      <c r="E539" s="211">
        <v>0</v>
      </c>
      <c r="F539" s="211">
        <v>0</v>
      </c>
      <c r="G539" s="212">
        <f>+E539*C539</f>
        <v>0</v>
      </c>
      <c r="H539" s="212">
        <f>+F539*C539</f>
        <v>0</v>
      </c>
    </row>
    <row r="540" spans="2:8" hidden="1" outlineLevel="1" collapsed="1" x14ac:dyDescent="0.25">
      <c r="B540" s="207" t="s">
        <v>315</v>
      </c>
      <c r="C540" s="208">
        <v>45313.31</v>
      </c>
      <c r="E540" s="209"/>
      <c r="F540" s="209"/>
      <c r="G540" s="210"/>
      <c r="H540" s="210"/>
    </row>
    <row r="541" spans="2:8" hidden="1" outlineLevel="2" x14ac:dyDescent="0.25">
      <c r="B541" s="1" t="s">
        <v>420</v>
      </c>
      <c r="C541" s="191">
        <v>1472.5</v>
      </c>
      <c r="E541" s="211">
        <v>0</v>
      </c>
      <c r="F541" s="211">
        <v>0</v>
      </c>
      <c r="G541" s="212">
        <f>+E541*C541</f>
        <v>0</v>
      </c>
      <c r="H541" s="212">
        <f>+F541*C541</f>
        <v>0</v>
      </c>
    </row>
    <row r="542" spans="2:8" hidden="1" outlineLevel="2" x14ac:dyDescent="0.25">
      <c r="B542" s="1" t="s">
        <v>421</v>
      </c>
      <c r="C542" s="191">
        <v>3219.96</v>
      </c>
      <c r="E542" s="211">
        <v>0</v>
      </c>
      <c r="F542" s="211">
        <v>0</v>
      </c>
      <c r="G542" s="212">
        <f>+E542*C542</f>
        <v>0</v>
      </c>
      <c r="H542" s="212">
        <f>+F542*C542</f>
        <v>0</v>
      </c>
    </row>
    <row r="543" spans="2:8" hidden="1" outlineLevel="2" x14ac:dyDescent="0.25">
      <c r="B543" s="1" t="s">
        <v>422</v>
      </c>
      <c r="C543" s="191">
        <v>9168.7800000000007</v>
      </c>
      <c r="E543" s="211">
        <v>0</v>
      </c>
      <c r="F543" s="211">
        <v>0</v>
      </c>
      <c r="G543" s="212">
        <f>+E543*C543</f>
        <v>0</v>
      </c>
      <c r="H543" s="212">
        <f>+F543*C543</f>
        <v>0</v>
      </c>
    </row>
    <row r="544" spans="2:8" hidden="1" outlineLevel="2" x14ac:dyDescent="0.25">
      <c r="B544" s="1" t="s">
        <v>423</v>
      </c>
      <c r="C544" s="191">
        <v>3104.94</v>
      </c>
      <c r="E544" s="211">
        <v>0</v>
      </c>
      <c r="F544" s="211">
        <v>0</v>
      </c>
      <c r="G544" s="212">
        <f>+E544*C544</f>
        <v>0</v>
      </c>
      <c r="H544" s="212">
        <f>+F544*C544</f>
        <v>0</v>
      </c>
    </row>
    <row r="545" spans="2:8" hidden="1" outlineLevel="2" x14ac:dyDescent="0.25">
      <c r="B545" s="1" t="s">
        <v>424</v>
      </c>
      <c r="C545" s="191">
        <v>19319.759999999998</v>
      </c>
      <c r="E545" s="211">
        <v>0</v>
      </c>
      <c r="F545" s="211">
        <v>0</v>
      </c>
      <c r="G545" s="212">
        <f>+E545*C545</f>
        <v>0</v>
      </c>
      <c r="H545" s="212">
        <f>+F545*C545</f>
        <v>0</v>
      </c>
    </row>
    <row r="546" spans="2:8" hidden="1" outlineLevel="2" x14ac:dyDescent="0.25">
      <c r="B546" s="1" t="s">
        <v>425</v>
      </c>
      <c r="C546" s="191">
        <v>7129.92</v>
      </c>
      <c r="E546" s="211">
        <v>0</v>
      </c>
      <c r="F546" s="211">
        <v>0</v>
      </c>
      <c r="G546" s="212">
        <f>+E546*C546</f>
        <v>0</v>
      </c>
      <c r="H546" s="212">
        <f>+F546*C546</f>
        <v>0</v>
      </c>
    </row>
    <row r="547" spans="2:8" hidden="1" outlineLevel="2" x14ac:dyDescent="0.25">
      <c r="B547" s="1" t="s">
        <v>426</v>
      </c>
      <c r="C547" s="191">
        <v>0</v>
      </c>
      <c r="E547" s="211">
        <v>0</v>
      </c>
      <c r="F547" s="211">
        <v>0</v>
      </c>
      <c r="G547" s="212">
        <f>+E547*C547</f>
        <v>0</v>
      </c>
      <c r="H547" s="212">
        <f>+F547*C547</f>
        <v>0</v>
      </c>
    </row>
    <row r="548" spans="2:8" hidden="1" outlineLevel="2" x14ac:dyDescent="0.25">
      <c r="B548" s="1" t="s">
        <v>427</v>
      </c>
      <c r="C548" s="191">
        <v>1897.45</v>
      </c>
      <c r="E548" s="211">
        <v>0</v>
      </c>
      <c r="F548" s="211">
        <v>0</v>
      </c>
      <c r="G548" s="212">
        <f>+E548*C548</f>
        <v>0</v>
      </c>
      <c r="H548" s="212">
        <f>+F548*C548</f>
        <v>0</v>
      </c>
    </row>
    <row r="549" spans="2:8" hidden="1" outlineLevel="1" collapsed="1" x14ac:dyDescent="0.25">
      <c r="B549" s="207" t="s">
        <v>428</v>
      </c>
      <c r="C549" s="208">
        <v>861.34</v>
      </c>
      <c r="E549" s="209"/>
      <c r="F549" s="209"/>
      <c r="G549" s="210"/>
      <c r="H549" s="210"/>
    </row>
    <row r="550" spans="2:8" hidden="1" outlineLevel="2" x14ac:dyDescent="0.25">
      <c r="B550" s="1" t="s">
        <v>429</v>
      </c>
      <c r="C550" s="191">
        <v>861.34</v>
      </c>
      <c r="E550" s="211">
        <v>0</v>
      </c>
      <c r="F550" s="211">
        <v>0</v>
      </c>
      <c r="G550" s="212">
        <f>+E550*C550</f>
        <v>0</v>
      </c>
      <c r="H550" s="212">
        <f>+F550*C550</f>
        <v>0</v>
      </c>
    </row>
    <row r="551" spans="2:8" hidden="1" outlineLevel="1" collapsed="1" x14ac:dyDescent="0.25">
      <c r="B551" s="207" t="s">
        <v>323</v>
      </c>
      <c r="C551" s="208">
        <v>24252.36</v>
      </c>
      <c r="E551" s="209"/>
      <c r="F551" s="209"/>
      <c r="G551" s="210"/>
      <c r="H551" s="210"/>
    </row>
    <row r="552" spans="2:8" hidden="1" outlineLevel="2" x14ac:dyDescent="0.25">
      <c r="B552" s="1" t="s">
        <v>272</v>
      </c>
      <c r="C552" s="191">
        <v>9859.86</v>
      </c>
      <c r="E552" s="211">
        <v>0</v>
      </c>
      <c r="F552" s="211">
        <v>0</v>
      </c>
      <c r="G552" s="212">
        <f>+E552*C552</f>
        <v>0</v>
      </c>
      <c r="H552" s="212">
        <f>+F552*C552</f>
        <v>0</v>
      </c>
    </row>
    <row r="553" spans="2:8" hidden="1" outlineLevel="2" x14ac:dyDescent="0.25">
      <c r="B553" s="1" t="s">
        <v>324</v>
      </c>
      <c r="C553" s="191">
        <v>14392.5</v>
      </c>
      <c r="E553" s="211">
        <v>0</v>
      </c>
      <c r="F553" s="211">
        <v>0</v>
      </c>
      <c r="G553" s="212">
        <f>+E553*C553</f>
        <v>0</v>
      </c>
      <c r="H553" s="212">
        <f>+F553*C553</f>
        <v>0</v>
      </c>
    </row>
    <row r="554" spans="2:8" hidden="1" outlineLevel="1" collapsed="1" x14ac:dyDescent="0.25">
      <c r="B554" s="207" t="s">
        <v>319</v>
      </c>
      <c r="C554" s="208">
        <v>21640</v>
      </c>
      <c r="E554" s="209"/>
      <c r="F554" s="209"/>
      <c r="G554" s="210"/>
      <c r="H554" s="210"/>
    </row>
    <row r="555" spans="2:8" hidden="1" outlineLevel="1" x14ac:dyDescent="0.25">
      <c r="B555" s="1" t="s">
        <v>320</v>
      </c>
      <c r="C555" s="191">
        <v>14290.2</v>
      </c>
      <c r="E555" s="211">
        <v>0</v>
      </c>
      <c r="F555" s="211">
        <v>0</v>
      </c>
      <c r="G555" s="212">
        <f>+E555*C555</f>
        <v>0</v>
      </c>
      <c r="H555" s="212">
        <f>+F555*C555</f>
        <v>0</v>
      </c>
    </row>
    <row r="556" spans="2:8" hidden="1" outlineLevel="1" x14ac:dyDescent="0.25">
      <c r="B556" s="1" t="s">
        <v>321</v>
      </c>
      <c r="C556" s="191">
        <v>5509.8</v>
      </c>
      <c r="E556" s="211">
        <v>0</v>
      </c>
      <c r="F556" s="211">
        <v>0</v>
      </c>
      <c r="G556" s="212">
        <f>+E556*C556</f>
        <v>0</v>
      </c>
      <c r="H556" s="212">
        <f>+F556*C556</f>
        <v>0</v>
      </c>
    </row>
    <row r="557" spans="2:8" hidden="1" outlineLevel="1" x14ac:dyDescent="0.25">
      <c r="B557" s="1" t="s">
        <v>322</v>
      </c>
      <c r="C557" s="191">
        <v>1840</v>
      </c>
      <c r="E557" s="211">
        <v>0</v>
      </c>
      <c r="F557" s="211">
        <v>0</v>
      </c>
      <c r="G557" s="212">
        <f>+E557*C557</f>
        <v>0</v>
      </c>
      <c r="H557" s="212">
        <f>+F557*C557</f>
        <v>0</v>
      </c>
    </row>
    <row r="558" spans="2:8" collapsed="1" x14ac:dyDescent="0.25">
      <c r="B558" s="192" t="s">
        <v>430</v>
      </c>
      <c r="C558" s="193">
        <f>+C559+C561+C564+C590+C605+C607+C633+C647+C666+C675+C678+C681+C708+C717+C725+C742+C744+C747+C758+C764+C773+C788+C819+C822+C832+C839+C848+C850+C853</f>
        <v>2435578.5999999996</v>
      </c>
      <c r="E558" s="206">
        <f>+G558/C558</f>
        <v>0</v>
      </c>
      <c r="F558" s="206">
        <f>+H558/C558</f>
        <v>0</v>
      </c>
      <c r="G558" s="205">
        <f>+G559+G561+G564</f>
        <v>0</v>
      </c>
      <c r="H558" s="205">
        <f>+H559+H561+H564</f>
        <v>0</v>
      </c>
    </row>
    <row r="559" spans="2:8" hidden="1" outlineLevel="1" x14ac:dyDescent="0.25">
      <c r="B559" s="207" t="s">
        <v>104</v>
      </c>
      <c r="C559" s="208">
        <v>9070.2000000000007</v>
      </c>
      <c r="E559" s="209"/>
      <c r="F559" s="209"/>
      <c r="G559" s="210"/>
      <c r="H559" s="210"/>
    </row>
    <row r="560" spans="2:8" hidden="1" outlineLevel="2" x14ac:dyDescent="0.25">
      <c r="B560" s="1" t="s">
        <v>105</v>
      </c>
      <c r="C560" s="191">
        <v>9070.2000000000007</v>
      </c>
      <c r="E560" s="211">
        <v>0</v>
      </c>
      <c r="F560" s="211">
        <v>0</v>
      </c>
      <c r="G560" s="212">
        <f>+E560*C560</f>
        <v>0</v>
      </c>
      <c r="H560" s="212">
        <f>+F560*C560</f>
        <v>0</v>
      </c>
    </row>
    <row r="561" spans="2:8" hidden="1" outlineLevel="1" collapsed="1" x14ac:dyDescent="0.25">
      <c r="B561" s="207" t="s">
        <v>106</v>
      </c>
      <c r="C561" s="208">
        <v>1855.37</v>
      </c>
      <c r="E561" s="209"/>
      <c r="F561" s="209"/>
      <c r="G561" s="210"/>
      <c r="H561" s="210"/>
    </row>
    <row r="562" spans="2:8" hidden="1" outlineLevel="2" x14ac:dyDescent="0.25">
      <c r="B562" s="1" t="s">
        <v>107</v>
      </c>
      <c r="C562" s="191">
        <v>1118.55</v>
      </c>
      <c r="E562" s="211">
        <v>0</v>
      </c>
      <c r="F562" s="211">
        <v>0</v>
      </c>
      <c r="G562" s="212">
        <f>+E562*C562</f>
        <v>0</v>
      </c>
      <c r="H562" s="212">
        <f>+F562*C562</f>
        <v>0</v>
      </c>
    </row>
    <row r="563" spans="2:8" hidden="1" outlineLevel="2" x14ac:dyDescent="0.25">
      <c r="B563" s="1" t="s">
        <v>108</v>
      </c>
      <c r="C563" s="191">
        <v>736.82</v>
      </c>
      <c r="E563" s="211">
        <v>0</v>
      </c>
      <c r="F563" s="211">
        <v>0</v>
      </c>
      <c r="G563" s="212">
        <f>+E563*C563</f>
        <v>0</v>
      </c>
      <c r="H563" s="212">
        <f>+F563*C563</f>
        <v>0</v>
      </c>
    </row>
    <row r="564" spans="2:8" hidden="1" outlineLevel="1" collapsed="1" x14ac:dyDescent="0.25">
      <c r="B564" s="207" t="s">
        <v>109</v>
      </c>
      <c r="C564" s="208">
        <v>183681.82</v>
      </c>
      <c r="E564" s="209"/>
      <c r="F564" s="209"/>
      <c r="G564" s="210"/>
      <c r="H564" s="210"/>
    </row>
    <row r="565" spans="2:8" hidden="1" outlineLevel="2" x14ac:dyDescent="0.25">
      <c r="B565" s="1" t="s">
        <v>110</v>
      </c>
      <c r="C565" s="191">
        <v>10207.56</v>
      </c>
      <c r="E565" s="211">
        <v>0</v>
      </c>
      <c r="F565" s="211">
        <v>0</v>
      </c>
      <c r="G565" s="212">
        <f>+E565*C565</f>
        <v>0</v>
      </c>
      <c r="H565" s="212">
        <f>+F565*C565</f>
        <v>0</v>
      </c>
    </row>
    <row r="566" spans="2:8" hidden="1" outlineLevel="2" x14ac:dyDescent="0.25">
      <c r="B566" s="1" t="s">
        <v>111</v>
      </c>
      <c r="C566" s="191">
        <v>5045.08</v>
      </c>
      <c r="E566" s="211">
        <v>0</v>
      </c>
      <c r="F566" s="211">
        <v>0</v>
      </c>
      <c r="G566" s="212">
        <f>+E566*C566</f>
        <v>0</v>
      </c>
      <c r="H566" s="212">
        <f>+F566*C566</f>
        <v>0</v>
      </c>
    </row>
    <row r="567" spans="2:8" hidden="1" outlineLevel="2" x14ac:dyDescent="0.25">
      <c r="B567" s="1" t="s">
        <v>112</v>
      </c>
      <c r="C567" s="191">
        <v>3100.09</v>
      </c>
      <c r="E567" s="211">
        <v>0</v>
      </c>
      <c r="F567" s="211">
        <v>0</v>
      </c>
      <c r="G567" s="212">
        <f>+E567*C567</f>
        <v>0</v>
      </c>
      <c r="H567" s="212">
        <f>+F567*C567</f>
        <v>0</v>
      </c>
    </row>
    <row r="568" spans="2:8" hidden="1" outlineLevel="2" x14ac:dyDescent="0.25">
      <c r="B568" s="1" t="s">
        <v>113</v>
      </c>
      <c r="C568" s="191">
        <v>2653.92</v>
      </c>
      <c r="E568" s="211">
        <v>0</v>
      </c>
      <c r="F568" s="211">
        <v>0</v>
      </c>
      <c r="G568" s="212">
        <f>+E568*C568</f>
        <v>0</v>
      </c>
      <c r="H568" s="212">
        <f>+F568*C568</f>
        <v>0</v>
      </c>
    </row>
    <row r="569" spans="2:8" hidden="1" outlineLevel="2" x14ac:dyDescent="0.25">
      <c r="B569" s="1" t="s">
        <v>114</v>
      </c>
      <c r="C569" s="191">
        <v>1452.12</v>
      </c>
      <c r="E569" s="211">
        <v>0</v>
      </c>
      <c r="F569" s="211">
        <v>0</v>
      </c>
      <c r="G569" s="212">
        <f>+E569*C569</f>
        <v>0</v>
      </c>
      <c r="H569" s="212">
        <f>+F569*C569</f>
        <v>0</v>
      </c>
    </row>
    <row r="570" spans="2:8" hidden="1" outlineLevel="2" x14ac:dyDescent="0.25">
      <c r="B570" s="1" t="s">
        <v>115</v>
      </c>
      <c r="C570" s="191">
        <v>2404.85</v>
      </c>
      <c r="E570" s="211">
        <v>0</v>
      </c>
      <c r="F570" s="211">
        <v>0</v>
      </c>
      <c r="G570" s="212">
        <f>+E570*C570</f>
        <v>0</v>
      </c>
      <c r="H570" s="212">
        <f>+F570*C570</f>
        <v>0</v>
      </c>
    </row>
    <row r="571" spans="2:8" hidden="1" outlineLevel="2" x14ac:dyDescent="0.25">
      <c r="B571" s="1" t="s">
        <v>116</v>
      </c>
      <c r="C571" s="191">
        <v>753.2</v>
      </c>
      <c r="E571" s="211">
        <v>0</v>
      </c>
      <c r="F571" s="211">
        <v>0</v>
      </c>
      <c r="G571" s="212">
        <f>+E571*C571</f>
        <v>0</v>
      </c>
      <c r="H571" s="212">
        <f>+F571*C571</f>
        <v>0</v>
      </c>
    </row>
    <row r="572" spans="2:8" hidden="1" outlineLevel="2" x14ac:dyDescent="0.25">
      <c r="B572" s="1" t="s">
        <v>117</v>
      </c>
      <c r="C572" s="191">
        <v>753.2</v>
      </c>
      <c r="E572" s="211">
        <v>0</v>
      </c>
      <c r="F572" s="211">
        <v>0</v>
      </c>
      <c r="G572" s="212">
        <f>+E572*C572</f>
        <v>0</v>
      </c>
      <c r="H572" s="212">
        <f>+F572*C572</f>
        <v>0</v>
      </c>
    </row>
    <row r="573" spans="2:8" hidden="1" outlineLevel="2" x14ac:dyDescent="0.25">
      <c r="B573" s="1" t="s">
        <v>326</v>
      </c>
      <c r="C573" s="191">
        <v>272.37</v>
      </c>
      <c r="E573" s="211">
        <v>0</v>
      </c>
      <c r="F573" s="211">
        <v>0</v>
      </c>
      <c r="G573" s="212">
        <f>+E573*C573</f>
        <v>0</v>
      </c>
      <c r="H573" s="212">
        <f>+F573*C573</f>
        <v>0</v>
      </c>
    </row>
    <row r="574" spans="2:8" hidden="1" outlineLevel="2" x14ac:dyDescent="0.25">
      <c r="B574" s="1" t="s">
        <v>118</v>
      </c>
      <c r="C574" s="191">
        <v>371.75</v>
      </c>
      <c r="E574" s="211">
        <v>0</v>
      </c>
      <c r="F574" s="211">
        <v>0</v>
      </c>
      <c r="G574" s="212">
        <f>+E574*C574</f>
        <v>0</v>
      </c>
      <c r="H574" s="212">
        <f>+F574*C574</f>
        <v>0</v>
      </c>
    </row>
    <row r="575" spans="2:8" hidden="1" outlineLevel="2" x14ac:dyDescent="0.25">
      <c r="B575" s="1" t="s">
        <v>119</v>
      </c>
      <c r="C575" s="191">
        <v>2465.0700000000002</v>
      </c>
      <c r="E575" s="211">
        <v>0</v>
      </c>
      <c r="F575" s="211">
        <v>0</v>
      </c>
      <c r="G575" s="212">
        <f>+E575*C575</f>
        <v>0</v>
      </c>
      <c r="H575" s="212">
        <f>+F575*C575</f>
        <v>0</v>
      </c>
    </row>
    <row r="576" spans="2:8" hidden="1" outlineLevel="2" x14ac:dyDescent="0.25">
      <c r="B576" s="1" t="s">
        <v>120</v>
      </c>
      <c r="C576" s="191">
        <v>582.14</v>
      </c>
      <c r="E576" s="211">
        <v>0</v>
      </c>
      <c r="F576" s="211">
        <v>0</v>
      </c>
      <c r="G576" s="212">
        <f>+E576*C576</f>
        <v>0</v>
      </c>
      <c r="H576" s="212">
        <f>+F576*C576</f>
        <v>0</v>
      </c>
    </row>
    <row r="577" spans="2:8" hidden="1" outlineLevel="2" x14ac:dyDescent="0.25">
      <c r="B577" s="1" t="s">
        <v>121</v>
      </c>
      <c r="C577" s="191">
        <v>574.99</v>
      </c>
      <c r="E577" s="211">
        <v>0</v>
      </c>
      <c r="F577" s="211">
        <v>0</v>
      </c>
      <c r="G577" s="212">
        <f>+E577*C577</f>
        <v>0</v>
      </c>
      <c r="H577" s="212">
        <f>+F577*C577</f>
        <v>0</v>
      </c>
    </row>
    <row r="578" spans="2:8" hidden="1" outlineLevel="2" x14ac:dyDescent="0.25">
      <c r="B578" s="1" t="s">
        <v>122</v>
      </c>
      <c r="C578" s="191">
        <v>1659.62</v>
      </c>
      <c r="E578" s="211">
        <v>0</v>
      </c>
      <c r="F578" s="211">
        <v>0</v>
      </c>
      <c r="G578" s="212">
        <f>+E578*C578</f>
        <v>0</v>
      </c>
      <c r="H578" s="212">
        <f>+F578*C578</f>
        <v>0</v>
      </c>
    </row>
    <row r="579" spans="2:8" hidden="1" outlineLevel="2" x14ac:dyDescent="0.25">
      <c r="B579" s="1" t="s">
        <v>123</v>
      </c>
      <c r="C579" s="191">
        <v>87.1</v>
      </c>
      <c r="E579" s="211">
        <v>0</v>
      </c>
      <c r="F579" s="211">
        <v>0</v>
      </c>
      <c r="G579" s="212">
        <f>+E579*C579</f>
        <v>0</v>
      </c>
      <c r="H579" s="212">
        <f>+F579*C579</f>
        <v>0</v>
      </c>
    </row>
    <row r="580" spans="2:8" hidden="1" outlineLevel="2" x14ac:dyDescent="0.25">
      <c r="B580" s="1" t="s">
        <v>124</v>
      </c>
      <c r="C580" s="191">
        <v>574.99</v>
      </c>
      <c r="E580" s="211">
        <v>0</v>
      </c>
      <c r="F580" s="211">
        <v>0</v>
      </c>
      <c r="G580" s="212">
        <f>+E580*C580</f>
        <v>0</v>
      </c>
      <c r="H580" s="212">
        <f>+F580*C580</f>
        <v>0</v>
      </c>
    </row>
    <row r="581" spans="2:8" hidden="1" outlineLevel="2" x14ac:dyDescent="0.25">
      <c r="B581" s="1" t="s">
        <v>125</v>
      </c>
      <c r="C581" s="191">
        <v>18766.14</v>
      </c>
      <c r="E581" s="211">
        <v>0</v>
      </c>
      <c r="F581" s="211">
        <v>0</v>
      </c>
      <c r="G581" s="212">
        <f>+E581*C581</f>
        <v>0</v>
      </c>
      <c r="H581" s="212">
        <f>+F581*C581</f>
        <v>0</v>
      </c>
    </row>
    <row r="582" spans="2:8" hidden="1" outlineLevel="2" x14ac:dyDescent="0.25">
      <c r="B582" s="1" t="s">
        <v>126</v>
      </c>
      <c r="C582" s="191">
        <v>11214.79</v>
      </c>
      <c r="E582" s="211">
        <v>0</v>
      </c>
      <c r="F582" s="211">
        <v>0</v>
      </c>
      <c r="G582" s="212">
        <f>+E582*C582</f>
        <v>0</v>
      </c>
      <c r="H582" s="212">
        <f>+F582*C582</f>
        <v>0</v>
      </c>
    </row>
    <row r="583" spans="2:8" hidden="1" outlineLevel="2" x14ac:dyDescent="0.25">
      <c r="B583" s="1" t="s">
        <v>127</v>
      </c>
      <c r="C583" s="191">
        <v>5062.1499999999996</v>
      </c>
      <c r="E583" s="211">
        <v>0</v>
      </c>
      <c r="F583" s="211">
        <v>0</v>
      </c>
      <c r="G583" s="212">
        <f>+E583*C583</f>
        <v>0</v>
      </c>
      <c r="H583" s="212">
        <f>+F583*C583</f>
        <v>0</v>
      </c>
    </row>
    <row r="584" spans="2:8" hidden="1" outlineLevel="2" x14ac:dyDescent="0.25">
      <c r="B584" s="1" t="s">
        <v>128</v>
      </c>
      <c r="C584" s="191">
        <v>7598.06</v>
      </c>
      <c r="E584" s="211">
        <v>0</v>
      </c>
      <c r="F584" s="211">
        <v>0</v>
      </c>
      <c r="G584" s="212">
        <f>+E584*C584</f>
        <v>0</v>
      </c>
      <c r="H584" s="212">
        <f>+F584*C584</f>
        <v>0</v>
      </c>
    </row>
    <row r="585" spans="2:8" hidden="1" outlineLevel="2" x14ac:dyDescent="0.25">
      <c r="B585" s="1" t="s">
        <v>129</v>
      </c>
      <c r="C585" s="191">
        <v>14734.01</v>
      </c>
      <c r="E585" s="211">
        <v>0</v>
      </c>
      <c r="F585" s="211">
        <v>0</v>
      </c>
      <c r="G585" s="212">
        <f>+E585*C585</f>
        <v>0</v>
      </c>
      <c r="H585" s="212">
        <f>+F585*C585</f>
        <v>0</v>
      </c>
    </row>
    <row r="586" spans="2:8" hidden="1" outlineLevel="2" x14ac:dyDescent="0.25">
      <c r="B586" s="1" t="s">
        <v>130</v>
      </c>
      <c r="C586" s="191">
        <v>50517.75</v>
      </c>
      <c r="E586" s="211">
        <v>0</v>
      </c>
      <c r="F586" s="211">
        <v>0</v>
      </c>
      <c r="G586" s="212">
        <f>+E586*C586</f>
        <v>0</v>
      </c>
      <c r="H586" s="212">
        <f>+F586*C586</f>
        <v>0</v>
      </c>
    </row>
    <row r="587" spans="2:8" hidden="1" outlineLevel="2" x14ac:dyDescent="0.25">
      <c r="B587" s="1" t="s">
        <v>131</v>
      </c>
      <c r="C587" s="191">
        <v>2501.31</v>
      </c>
      <c r="E587" s="211">
        <v>0</v>
      </c>
      <c r="F587" s="211">
        <v>0</v>
      </c>
      <c r="G587" s="212">
        <f>+E587*C587</f>
        <v>0</v>
      </c>
      <c r="H587" s="212">
        <f>+F587*C587</f>
        <v>0</v>
      </c>
    </row>
    <row r="588" spans="2:8" hidden="1" outlineLevel="2" x14ac:dyDescent="0.25">
      <c r="B588" s="1" t="s">
        <v>132</v>
      </c>
      <c r="C588" s="191">
        <v>13441.06</v>
      </c>
      <c r="E588" s="211">
        <v>0</v>
      </c>
      <c r="F588" s="211">
        <v>0</v>
      </c>
      <c r="G588" s="212">
        <f>+E588*C588</f>
        <v>0</v>
      </c>
      <c r="H588" s="212">
        <f>+F588*C588</f>
        <v>0</v>
      </c>
    </row>
    <row r="589" spans="2:8" hidden="1" outlineLevel="2" x14ac:dyDescent="0.25">
      <c r="B589" s="1" t="s">
        <v>133</v>
      </c>
      <c r="C589" s="191">
        <v>26888.5</v>
      </c>
      <c r="E589" s="211">
        <v>0</v>
      </c>
      <c r="F589" s="211">
        <v>0</v>
      </c>
      <c r="G589" s="212">
        <f>+E589*C589</f>
        <v>0</v>
      </c>
      <c r="H589" s="212">
        <f>+F589*C589</f>
        <v>0</v>
      </c>
    </row>
    <row r="590" spans="2:8" hidden="1" outlineLevel="1" collapsed="1" x14ac:dyDescent="0.25">
      <c r="B590" s="207" t="s">
        <v>136</v>
      </c>
      <c r="C590" s="208">
        <v>167033.85</v>
      </c>
      <c r="E590" s="209"/>
      <c r="F590" s="209"/>
      <c r="G590" s="210"/>
      <c r="H590" s="210"/>
    </row>
    <row r="591" spans="2:8" hidden="1" outlineLevel="2" x14ac:dyDescent="0.25">
      <c r="B591" s="1" t="s">
        <v>137</v>
      </c>
      <c r="C591" s="191">
        <v>0</v>
      </c>
      <c r="E591" s="211">
        <v>0</v>
      </c>
      <c r="F591" s="211">
        <v>0</v>
      </c>
      <c r="G591" s="212">
        <f>+E591*C591</f>
        <v>0</v>
      </c>
      <c r="H591" s="212">
        <f>+F591*C591</f>
        <v>0</v>
      </c>
    </row>
    <row r="592" spans="2:8" hidden="1" outlineLevel="2" x14ac:dyDescent="0.25">
      <c r="B592" s="1" t="s">
        <v>138</v>
      </c>
      <c r="C592" s="191">
        <v>25106.13</v>
      </c>
      <c r="E592" s="211">
        <v>0</v>
      </c>
      <c r="F592" s="211">
        <v>0</v>
      </c>
      <c r="G592" s="212">
        <f>+E592*C592</f>
        <v>0</v>
      </c>
      <c r="H592" s="212">
        <f>+F592*C592</f>
        <v>0</v>
      </c>
    </row>
    <row r="593" spans="2:8" hidden="1" outlineLevel="2" x14ac:dyDescent="0.25">
      <c r="B593" s="1" t="s">
        <v>140</v>
      </c>
      <c r="C593" s="191">
        <v>19843.650000000001</v>
      </c>
      <c r="E593" s="211">
        <v>0</v>
      </c>
      <c r="F593" s="211">
        <v>0</v>
      </c>
      <c r="G593" s="212">
        <f>+E593*C593</f>
        <v>0</v>
      </c>
      <c r="H593" s="212">
        <f>+F593*C593</f>
        <v>0</v>
      </c>
    </row>
    <row r="594" spans="2:8" hidden="1" outlineLevel="2" x14ac:dyDescent="0.25">
      <c r="B594" s="1" t="s">
        <v>141</v>
      </c>
      <c r="C594" s="191">
        <v>2267.86</v>
      </c>
      <c r="E594" s="211">
        <v>0</v>
      </c>
      <c r="F594" s="211">
        <v>0</v>
      </c>
      <c r="G594" s="212">
        <f>+E594*C594</f>
        <v>0</v>
      </c>
      <c r="H594" s="212">
        <f>+F594*C594</f>
        <v>0</v>
      </c>
    </row>
    <row r="595" spans="2:8" hidden="1" outlineLevel="2" x14ac:dyDescent="0.25">
      <c r="B595" s="1" t="s">
        <v>142</v>
      </c>
      <c r="C595" s="191">
        <v>3146.27</v>
      </c>
      <c r="E595" s="211">
        <v>0</v>
      </c>
      <c r="F595" s="211">
        <v>0</v>
      </c>
      <c r="G595" s="212">
        <f>+E595*C595</f>
        <v>0</v>
      </c>
      <c r="H595" s="212">
        <f>+F595*C595</f>
        <v>0</v>
      </c>
    </row>
    <row r="596" spans="2:8" hidden="1" outlineLevel="2" x14ac:dyDescent="0.25">
      <c r="B596" s="1" t="s">
        <v>143</v>
      </c>
      <c r="C596" s="191">
        <v>6981.21</v>
      </c>
      <c r="E596" s="211">
        <v>0</v>
      </c>
      <c r="F596" s="211">
        <v>0</v>
      </c>
      <c r="G596" s="212">
        <f>+E596*C596</f>
        <v>0</v>
      </c>
      <c r="H596" s="212">
        <f>+F596*C596</f>
        <v>0</v>
      </c>
    </row>
    <row r="597" spans="2:8" hidden="1" outlineLevel="2" x14ac:dyDescent="0.25">
      <c r="B597" s="1" t="s">
        <v>146</v>
      </c>
      <c r="C597" s="191">
        <v>21736.69</v>
      </c>
      <c r="E597" s="211">
        <v>0</v>
      </c>
      <c r="F597" s="211">
        <v>0</v>
      </c>
      <c r="G597" s="212">
        <f>+E597*C597</f>
        <v>0</v>
      </c>
      <c r="H597" s="212">
        <f>+F597*C597</f>
        <v>0</v>
      </c>
    </row>
    <row r="598" spans="2:8" hidden="1" outlineLevel="2" x14ac:dyDescent="0.25">
      <c r="B598" s="1" t="s">
        <v>147</v>
      </c>
      <c r="C598" s="191">
        <v>6832.58</v>
      </c>
      <c r="E598" s="211">
        <v>0</v>
      </c>
      <c r="F598" s="211">
        <v>0</v>
      </c>
      <c r="G598" s="212">
        <f>+E598*C598</f>
        <v>0</v>
      </c>
      <c r="H598" s="212">
        <f>+F598*C598</f>
        <v>0</v>
      </c>
    </row>
    <row r="599" spans="2:8" hidden="1" outlineLevel="2" x14ac:dyDescent="0.25">
      <c r="B599" s="1" t="s">
        <v>148</v>
      </c>
      <c r="C599" s="191">
        <v>7108.11</v>
      </c>
      <c r="E599" s="211">
        <v>0</v>
      </c>
      <c r="F599" s="211">
        <v>0</v>
      </c>
      <c r="G599" s="212">
        <f>+E599*C599</f>
        <v>0</v>
      </c>
      <c r="H599" s="212">
        <f>+F599*C599</f>
        <v>0</v>
      </c>
    </row>
    <row r="600" spans="2:8" hidden="1" outlineLevel="2" x14ac:dyDescent="0.25">
      <c r="B600" s="1" t="s">
        <v>149</v>
      </c>
      <c r="C600" s="191">
        <v>18986.43</v>
      </c>
      <c r="E600" s="211">
        <v>0</v>
      </c>
      <c r="F600" s="211">
        <v>0</v>
      </c>
      <c r="G600" s="212">
        <f>+E600*C600</f>
        <v>0</v>
      </c>
      <c r="H600" s="212">
        <f>+F600*C600</f>
        <v>0</v>
      </c>
    </row>
    <row r="601" spans="2:8" hidden="1" outlineLevel="2" x14ac:dyDescent="0.25">
      <c r="B601" s="1" t="s">
        <v>150</v>
      </c>
      <c r="C601" s="191">
        <v>52446.46</v>
      </c>
      <c r="E601" s="211">
        <v>0</v>
      </c>
      <c r="F601" s="211">
        <v>0</v>
      </c>
      <c r="G601" s="212">
        <f>+E601*C601</f>
        <v>0</v>
      </c>
      <c r="H601" s="212">
        <f>+F601*C601</f>
        <v>0</v>
      </c>
    </row>
    <row r="602" spans="2:8" hidden="1" outlineLevel="2" x14ac:dyDescent="0.25">
      <c r="B602" s="1" t="s">
        <v>327</v>
      </c>
      <c r="C602" s="191">
        <v>1637.54</v>
      </c>
      <c r="E602" s="211">
        <v>0</v>
      </c>
      <c r="F602" s="211">
        <v>0</v>
      </c>
      <c r="G602" s="212">
        <f>+E602*C602</f>
        <v>0</v>
      </c>
      <c r="H602" s="212">
        <f>+F602*C602</f>
        <v>0</v>
      </c>
    </row>
    <row r="603" spans="2:8" hidden="1" outlineLevel="2" x14ac:dyDescent="0.25">
      <c r="B603" s="1" t="s">
        <v>116</v>
      </c>
      <c r="C603" s="191">
        <v>470.46</v>
      </c>
      <c r="E603" s="211">
        <v>0</v>
      </c>
      <c r="F603" s="211">
        <v>0</v>
      </c>
      <c r="G603" s="212">
        <f>+E603*C603</f>
        <v>0</v>
      </c>
      <c r="H603" s="212">
        <f>+F603*C603</f>
        <v>0</v>
      </c>
    </row>
    <row r="604" spans="2:8" hidden="1" outlineLevel="2" x14ac:dyDescent="0.25">
      <c r="B604" s="1" t="s">
        <v>117</v>
      </c>
      <c r="C604" s="191">
        <v>470.46</v>
      </c>
      <c r="E604" s="211">
        <v>0</v>
      </c>
      <c r="F604" s="211">
        <v>0</v>
      </c>
      <c r="G604" s="212">
        <f>+E604*C604</f>
        <v>0</v>
      </c>
      <c r="H604" s="212">
        <f>+F604*C604</f>
        <v>0</v>
      </c>
    </row>
    <row r="605" spans="2:8" hidden="1" outlineLevel="1" collapsed="1" x14ac:dyDescent="0.25">
      <c r="B605" s="207" t="s">
        <v>151</v>
      </c>
      <c r="C605" s="208">
        <v>26683.07</v>
      </c>
      <c r="E605" s="209"/>
      <c r="F605" s="209"/>
      <c r="G605" s="210"/>
      <c r="H605" s="210"/>
    </row>
    <row r="606" spans="2:8" hidden="1" outlineLevel="2" x14ac:dyDescent="0.25">
      <c r="B606" s="1" t="s">
        <v>152</v>
      </c>
      <c r="C606" s="191">
        <v>26683.07</v>
      </c>
      <c r="E606" s="211">
        <v>0</v>
      </c>
      <c r="F606" s="211">
        <v>0</v>
      </c>
      <c r="G606" s="212">
        <f>+E606*C606</f>
        <v>0</v>
      </c>
      <c r="H606" s="212">
        <f>+F606*C606</f>
        <v>0</v>
      </c>
    </row>
    <row r="607" spans="2:8" hidden="1" outlineLevel="1" collapsed="1" x14ac:dyDescent="0.25">
      <c r="B607" s="207" t="s">
        <v>153</v>
      </c>
      <c r="C607" s="208">
        <v>203007.14</v>
      </c>
      <c r="E607" s="209"/>
      <c r="F607" s="209"/>
      <c r="G607" s="210"/>
      <c r="H607" s="210"/>
    </row>
    <row r="608" spans="2:8" hidden="1" outlineLevel="2" x14ac:dyDescent="0.25">
      <c r="B608" s="1" t="s">
        <v>328</v>
      </c>
      <c r="C608" s="191">
        <v>12050.32</v>
      </c>
      <c r="E608" s="211">
        <v>0</v>
      </c>
      <c r="F608" s="211">
        <v>0</v>
      </c>
      <c r="G608" s="212">
        <f>+E608*C608</f>
        <v>0</v>
      </c>
      <c r="H608" s="212">
        <f>+F608*C608</f>
        <v>0</v>
      </c>
    </row>
    <row r="609" spans="2:8" hidden="1" outlineLevel="2" x14ac:dyDescent="0.25">
      <c r="B609" s="1" t="s">
        <v>329</v>
      </c>
      <c r="C609" s="191">
        <v>7601.03</v>
      </c>
      <c r="E609" s="211">
        <v>0</v>
      </c>
      <c r="F609" s="211">
        <v>0</v>
      </c>
      <c r="G609" s="212">
        <f>+E609*C609</f>
        <v>0</v>
      </c>
      <c r="H609" s="212">
        <f>+F609*C609</f>
        <v>0</v>
      </c>
    </row>
    <row r="610" spans="2:8" hidden="1" outlineLevel="2" x14ac:dyDescent="0.25">
      <c r="B610" s="1" t="s">
        <v>164</v>
      </c>
      <c r="C610" s="191">
        <v>975.71</v>
      </c>
      <c r="E610" s="211">
        <v>0</v>
      </c>
      <c r="F610" s="211">
        <v>0</v>
      </c>
      <c r="G610" s="212">
        <f>+E610*C610</f>
        <v>0</v>
      </c>
      <c r="H610" s="212">
        <f>+F610*C610</f>
        <v>0</v>
      </c>
    </row>
    <row r="611" spans="2:8" hidden="1" outlineLevel="2" x14ac:dyDescent="0.25">
      <c r="B611" s="1" t="s">
        <v>330</v>
      </c>
      <c r="C611" s="191">
        <v>1982.23</v>
      </c>
      <c r="E611" s="211">
        <v>0</v>
      </c>
      <c r="F611" s="211">
        <v>0</v>
      </c>
      <c r="G611" s="212">
        <f>+E611*C611</f>
        <v>0</v>
      </c>
      <c r="H611" s="212">
        <f>+F611*C611</f>
        <v>0</v>
      </c>
    </row>
    <row r="612" spans="2:8" hidden="1" outlineLevel="2" x14ac:dyDescent="0.25">
      <c r="B612" s="1" t="s">
        <v>162</v>
      </c>
      <c r="C612" s="191">
        <v>1165.56</v>
      </c>
      <c r="E612" s="211">
        <v>0</v>
      </c>
      <c r="F612" s="211">
        <v>0</v>
      </c>
      <c r="G612" s="212">
        <f>+E612*C612</f>
        <v>0</v>
      </c>
      <c r="H612" s="212">
        <f>+F612*C612</f>
        <v>0</v>
      </c>
    </row>
    <row r="613" spans="2:8" hidden="1" outlineLevel="2" x14ac:dyDescent="0.25">
      <c r="B613" s="1" t="s">
        <v>163</v>
      </c>
      <c r="C613" s="191">
        <v>11155.31</v>
      </c>
      <c r="E613" s="211">
        <v>0</v>
      </c>
      <c r="F613" s="211">
        <v>0</v>
      </c>
      <c r="G613" s="212">
        <f>+E613*C613</f>
        <v>0</v>
      </c>
      <c r="H613" s="212">
        <f>+F613*C613</f>
        <v>0</v>
      </c>
    </row>
    <row r="614" spans="2:8" hidden="1" outlineLevel="2" x14ac:dyDescent="0.25">
      <c r="B614" s="1" t="s">
        <v>331</v>
      </c>
      <c r="C614" s="191">
        <v>8306.69</v>
      </c>
      <c r="E614" s="211">
        <v>0</v>
      </c>
      <c r="F614" s="211">
        <v>0</v>
      </c>
      <c r="G614" s="212">
        <f>+E614*C614</f>
        <v>0</v>
      </c>
      <c r="H614" s="212">
        <f>+F614*C614</f>
        <v>0</v>
      </c>
    </row>
    <row r="615" spans="2:8" hidden="1" outlineLevel="2" x14ac:dyDescent="0.25">
      <c r="B615" s="1" t="s">
        <v>332</v>
      </c>
      <c r="C615" s="191">
        <v>1060.23</v>
      </c>
      <c r="E615" s="211">
        <v>0</v>
      </c>
      <c r="F615" s="211">
        <v>0</v>
      </c>
      <c r="G615" s="212">
        <f>+E615*C615</f>
        <v>0</v>
      </c>
      <c r="H615" s="212">
        <f>+F615*C615</f>
        <v>0</v>
      </c>
    </row>
    <row r="616" spans="2:8" hidden="1" outlineLevel="2" x14ac:dyDescent="0.25">
      <c r="B616" s="1" t="s">
        <v>333</v>
      </c>
      <c r="C616" s="191">
        <v>22015.54</v>
      </c>
      <c r="E616" s="211">
        <v>0</v>
      </c>
      <c r="F616" s="211">
        <v>0</v>
      </c>
      <c r="G616" s="212">
        <f>+E616*C616</f>
        <v>0</v>
      </c>
      <c r="H616" s="212">
        <f>+F616*C616</f>
        <v>0</v>
      </c>
    </row>
    <row r="617" spans="2:8" hidden="1" outlineLevel="2" x14ac:dyDescent="0.25">
      <c r="B617" s="1" t="s">
        <v>334</v>
      </c>
      <c r="C617" s="191">
        <v>2269.54</v>
      </c>
      <c r="E617" s="211">
        <v>0</v>
      </c>
      <c r="F617" s="211">
        <v>0</v>
      </c>
      <c r="G617" s="212">
        <f>+E617*C617</f>
        <v>0</v>
      </c>
      <c r="H617" s="212">
        <f>+F617*C617</f>
        <v>0</v>
      </c>
    </row>
    <row r="618" spans="2:8" hidden="1" outlineLevel="2" x14ac:dyDescent="0.25">
      <c r="B618" s="1" t="s">
        <v>335</v>
      </c>
      <c r="C618" s="191">
        <v>1319.5</v>
      </c>
      <c r="E618" s="211">
        <v>0</v>
      </c>
      <c r="F618" s="211">
        <v>0</v>
      </c>
      <c r="G618" s="212">
        <f>+E618*C618</f>
        <v>0</v>
      </c>
      <c r="H618" s="212">
        <f>+F618*C618</f>
        <v>0</v>
      </c>
    </row>
    <row r="619" spans="2:8" hidden="1" outlineLevel="2" x14ac:dyDescent="0.25">
      <c r="B619" s="1" t="s">
        <v>165</v>
      </c>
      <c r="C619" s="191">
        <v>3628.43</v>
      </c>
      <c r="E619" s="211">
        <v>0</v>
      </c>
      <c r="F619" s="211">
        <v>0</v>
      </c>
      <c r="G619" s="212">
        <f>+E619*C619</f>
        <v>0</v>
      </c>
      <c r="H619" s="212">
        <f>+F619*C619</f>
        <v>0</v>
      </c>
    </row>
    <row r="620" spans="2:8" hidden="1" outlineLevel="2" x14ac:dyDescent="0.25">
      <c r="B620" s="1" t="s">
        <v>336</v>
      </c>
      <c r="C620" s="191">
        <v>1314.66</v>
      </c>
      <c r="E620" s="211">
        <v>0</v>
      </c>
      <c r="F620" s="211">
        <v>0</v>
      </c>
      <c r="G620" s="212">
        <f>+E620*C620</f>
        <v>0</v>
      </c>
      <c r="H620" s="212">
        <f>+F620*C620</f>
        <v>0</v>
      </c>
    </row>
    <row r="621" spans="2:8" hidden="1" outlineLevel="2" x14ac:dyDescent="0.25">
      <c r="B621" s="1" t="s">
        <v>337</v>
      </c>
      <c r="C621" s="191">
        <v>20441.740000000002</v>
      </c>
      <c r="E621" s="211">
        <v>0</v>
      </c>
      <c r="F621" s="211">
        <v>0</v>
      </c>
      <c r="G621" s="212">
        <f>+E621*C621</f>
        <v>0</v>
      </c>
      <c r="H621" s="212">
        <f>+F621*C621</f>
        <v>0</v>
      </c>
    </row>
    <row r="622" spans="2:8" hidden="1" outlineLevel="2" x14ac:dyDescent="0.25">
      <c r="B622" s="1" t="s">
        <v>167</v>
      </c>
      <c r="C622" s="191">
        <v>57407.360000000001</v>
      </c>
      <c r="E622" s="211">
        <v>0</v>
      </c>
      <c r="F622" s="211">
        <v>0</v>
      </c>
      <c r="G622" s="212">
        <f>+E622*C622</f>
        <v>0</v>
      </c>
      <c r="H622" s="212">
        <f>+F622*C622</f>
        <v>0</v>
      </c>
    </row>
    <row r="623" spans="2:8" hidden="1" outlineLevel="2" x14ac:dyDescent="0.25">
      <c r="B623" s="1" t="s">
        <v>131</v>
      </c>
      <c r="C623" s="191">
        <v>2378.69</v>
      </c>
      <c r="E623" s="211">
        <v>0</v>
      </c>
      <c r="F623" s="211">
        <v>0</v>
      </c>
      <c r="G623" s="212">
        <f>+E623*C623</f>
        <v>0</v>
      </c>
      <c r="H623" s="212">
        <f>+F623*C623</f>
        <v>0</v>
      </c>
    </row>
    <row r="624" spans="2:8" hidden="1" outlineLevel="2" x14ac:dyDescent="0.25">
      <c r="B624" s="1" t="s">
        <v>166</v>
      </c>
      <c r="C624" s="191">
        <v>33366.230000000003</v>
      </c>
      <c r="E624" s="211">
        <v>0</v>
      </c>
      <c r="F624" s="211">
        <v>0</v>
      </c>
      <c r="G624" s="212">
        <f>+E624*C624</f>
        <v>0</v>
      </c>
      <c r="H624" s="212">
        <f>+F624*C624</f>
        <v>0</v>
      </c>
    </row>
    <row r="625" spans="2:8" hidden="1" outlineLevel="2" x14ac:dyDescent="0.25">
      <c r="B625" s="1" t="s">
        <v>168</v>
      </c>
      <c r="C625" s="191">
        <v>4977.22</v>
      </c>
      <c r="E625" s="211">
        <v>0</v>
      </c>
      <c r="F625" s="211">
        <v>0</v>
      </c>
      <c r="G625" s="212">
        <f>+E625*C625</f>
        <v>0</v>
      </c>
      <c r="H625" s="212">
        <f>+F625*C625</f>
        <v>0</v>
      </c>
    </row>
    <row r="626" spans="2:8" hidden="1" outlineLevel="2" x14ac:dyDescent="0.25">
      <c r="B626" s="1" t="s">
        <v>169</v>
      </c>
      <c r="C626" s="191">
        <v>5312.02</v>
      </c>
      <c r="E626" s="211">
        <v>0</v>
      </c>
      <c r="F626" s="211">
        <v>0</v>
      </c>
      <c r="G626" s="212">
        <f>+E626*C626</f>
        <v>0</v>
      </c>
      <c r="H626" s="212">
        <f>+F626*C626</f>
        <v>0</v>
      </c>
    </row>
    <row r="627" spans="2:8" hidden="1" outlineLevel="2" x14ac:dyDescent="0.25">
      <c r="B627" s="1" t="s">
        <v>338</v>
      </c>
      <c r="C627" s="191">
        <v>717.18</v>
      </c>
      <c r="E627" s="211">
        <v>0</v>
      </c>
      <c r="F627" s="211">
        <v>0</v>
      </c>
      <c r="G627" s="212">
        <f>+E627*C627</f>
        <v>0</v>
      </c>
      <c r="H627" s="212">
        <f>+F627*C627</f>
        <v>0</v>
      </c>
    </row>
    <row r="628" spans="2:8" hidden="1" outlineLevel="2" x14ac:dyDescent="0.25">
      <c r="B628" s="1" t="s">
        <v>339</v>
      </c>
      <c r="C628" s="191">
        <v>1532.33</v>
      </c>
      <c r="E628" s="211">
        <v>0</v>
      </c>
      <c r="F628" s="211">
        <v>0</v>
      </c>
      <c r="G628" s="212">
        <f>+E628*C628</f>
        <v>0</v>
      </c>
      <c r="H628" s="212">
        <f>+F628*C628</f>
        <v>0</v>
      </c>
    </row>
    <row r="629" spans="2:8" hidden="1" outlineLevel="2" x14ac:dyDescent="0.25">
      <c r="B629" s="1" t="s">
        <v>121</v>
      </c>
      <c r="C629" s="191">
        <v>574.99</v>
      </c>
      <c r="E629" s="211">
        <v>0</v>
      </c>
      <c r="F629" s="211">
        <v>0</v>
      </c>
      <c r="G629" s="212">
        <f>+E629*C629</f>
        <v>0</v>
      </c>
      <c r="H629" s="212">
        <f>+F629*C629</f>
        <v>0</v>
      </c>
    </row>
    <row r="630" spans="2:8" hidden="1" outlineLevel="2" x14ac:dyDescent="0.25">
      <c r="B630" s="1" t="s">
        <v>340</v>
      </c>
      <c r="C630" s="191">
        <v>402.9</v>
      </c>
      <c r="E630" s="211">
        <v>0</v>
      </c>
      <c r="F630" s="211">
        <v>0</v>
      </c>
      <c r="G630" s="212">
        <f>+E630*C630</f>
        <v>0</v>
      </c>
      <c r="H630" s="212">
        <f>+F630*C630</f>
        <v>0</v>
      </c>
    </row>
    <row r="631" spans="2:8" hidden="1" outlineLevel="2" x14ac:dyDescent="0.25">
      <c r="B631" s="1" t="s">
        <v>341</v>
      </c>
      <c r="C631" s="191">
        <v>476.74</v>
      </c>
      <c r="E631" s="211">
        <v>0</v>
      </c>
      <c r="F631" s="211">
        <v>0</v>
      </c>
      <c r="G631" s="212">
        <f>+E631*C631</f>
        <v>0</v>
      </c>
      <c r="H631" s="212">
        <f>+F631*C631</f>
        <v>0</v>
      </c>
    </row>
    <row r="632" spans="2:8" hidden="1" outlineLevel="2" x14ac:dyDescent="0.25">
      <c r="B632" s="1" t="s">
        <v>124</v>
      </c>
      <c r="C632" s="191">
        <v>574.99</v>
      </c>
      <c r="E632" s="211">
        <v>0</v>
      </c>
      <c r="F632" s="211">
        <v>0</v>
      </c>
      <c r="G632" s="212">
        <f>+E632*C632</f>
        <v>0</v>
      </c>
      <c r="H632" s="212">
        <f>+F632*C632</f>
        <v>0</v>
      </c>
    </row>
    <row r="633" spans="2:8" hidden="1" outlineLevel="1" collapsed="1" x14ac:dyDescent="0.25">
      <c r="B633" s="207" t="s">
        <v>174</v>
      </c>
      <c r="C633" s="208">
        <v>226919.92</v>
      </c>
      <c r="E633" s="209"/>
      <c r="F633" s="209"/>
      <c r="G633" s="210"/>
      <c r="H633" s="210"/>
    </row>
    <row r="634" spans="2:8" hidden="1" outlineLevel="2" x14ac:dyDescent="0.25">
      <c r="B634" s="1" t="s">
        <v>175</v>
      </c>
      <c r="C634" s="191">
        <v>0</v>
      </c>
      <c r="E634" s="211">
        <v>0</v>
      </c>
      <c r="F634" s="211">
        <v>0</v>
      </c>
      <c r="G634" s="212">
        <f>+E634*C634</f>
        <v>0</v>
      </c>
      <c r="H634" s="212">
        <f>+F634*C634</f>
        <v>0</v>
      </c>
    </row>
    <row r="635" spans="2:8" hidden="1" outlineLevel="2" x14ac:dyDescent="0.25">
      <c r="B635" s="1" t="s">
        <v>138</v>
      </c>
      <c r="C635" s="191">
        <v>28730.91</v>
      </c>
      <c r="E635" s="211">
        <v>0</v>
      </c>
      <c r="F635" s="211">
        <v>0</v>
      </c>
      <c r="G635" s="212">
        <f>+E635*C635</f>
        <v>0</v>
      </c>
      <c r="H635" s="212">
        <f>+F635*C635</f>
        <v>0</v>
      </c>
    </row>
    <row r="636" spans="2:8" hidden="1" outlineLevel="2" x14ac:dyDescent="0.25">
      <c r="B636" s="1" t="s">
        <v>139</v>
      </c>
      <c r="C636" s="191">
        <v>13836.35</v>
      </c>
      <c r="E636" s="211">
        <v>0</v>
      </c>
      <c r="F636" s="211">
        <v>0</v>
      </c>
      <c r="G636" s="212">
        <f>+E636*C636</f>
        <v>0</v>
      </c>
      <c r="H636" s="212">
        <f>+F636*C636</f>
        <v>0</v>
      </c>
    </row>
    <row r="637" spans="2:8" hidden="1" outlineLevel="2" x14ac:dyDescent="0.25">
      <c r="B637" s="1" t="s">
        <v>141</v>
      </c>
      <c r="C637" s="191">
        <v>4849.9399999999996</v>
      </c>
      <c r="E637" s="211">
        <v>0</v>
      </c>
      <c r="F637" s="211">
        <v>0</v>
      </c>
      <c r="G637" s="212">
        <f>+E637*C637</f>
        <v>0</v>
      </c>
      <c r="H637" s="212">
        <f>+F637*C637</f>
        <v>0</v>
      </c>
    </row>
    <row r="638" spans="2:8" hidden="1" outlineLevel="2" x14ac:dyDescent="0.25">
      <c r="B638" s="1" t="s">
        <v>142</v>
      </c>
      <c r="C638" s="191">
        <v>7235.14</v>
      </c>
      <c r="E638" s="211">
        <v>0</v>
      </c>
      <c r="F638" s="211">
        <v>0</v>
      </c>
      <c r="G638" s="212">
        <f>+E638*C638</f>
        <v>0</v>
      </c>
      <c r="H638" s="212">
        <f>+F638*C638</f>
        <v>0</v>
      </c>
    </row>
    <row r="639" spans="2:8" hidden="1" outlineLevel="2" x14ac:dyDescent="0.25">
      <c r="B639" s="1" t="s">
        <v>342</v>
      </c>
      <c r="C639" s="191">
        <v>3264.93</v>
      </c>
      <c r="E639" s="211">
        <v>0</v>
      </c>
      <c r="F639" s="211">
        <v>0</v>
      </c>
      <c r="G639" s="212">
        <f>+E639*C639</f>
        <v>0</v>
      </c>
      <c r="H639" s="212">
        <f>+F639*C639</f>
        <v>0</v>
      </c>
    </row>
    <row r="640" spans="2:8" hidden="1" outlineLevel="2" x14ac:dyDescent="0.25">
      <c r="B640" s="1" t="s">
        <v>343</v>
      </c>
      <c r="C640" s="191">
        <v>14238.46</v>
      </c>
      <c r="E640" s="211">
        <v>0</v>
      </c>
      <c r="F640" s="211">
        <v>0</v>
      </c>
      <c r="G640" s="212">
        <f>+E640*C640</f>
        <v>0</v>
      </c>
      <c r="H640" s="212">
        <f>+F640*C640</f>
        <v>0</v>
      </c>
    </row>
    <row r="641" spans="2:8" hidden="1" outlineLevel="2" x14ac:dyDescent="0.25">
      <c r="B641" s="1" t="s">
        <v>146</v>
      </c>
      <c r="C641" s="191">
        <v>25086.720000000001</v>
      </c>
      <c r="E641" s="211">
        <v>0</v>
      </c>
      <c r="F641" s="211">
        <v>0</v>
      </c>
      <c r="G641" s="212">
        <f>+E641*C641</f>
        <v>0</v>
      </c>
      <c r="H641" s="212">
        <f>+F641*C641</f>
        <v>0</v>
      </c>
    </row>
    <row r="642" spans="2:8" hidden="1" outlineLevel="2" x14ac:dyDescent="0.25">
      <c r="B642" s="1" t="s">
        <v>147</v>
      </c>
      <c r="C642" s="191">
        <v>18304.060000000001</v>
      </c>
      <c r="E642" s="211">
        <v>0</v>
      </c>
      <c r="F642" s="211">
        <v>0</v>
      </c>
      <c r="G642" s="212">
        <f>+E642*C642</f>
        <v>0</v>
      </c>
      <c r="H642" s="212">
        <f>+F642*C642</f>
        <v>0</v>
      </c>
    </row>
    <row r="643" spans="2:8" hidden="1" outlineLevel="2" x14ac:dyDescent="0.25">
      <c r="B643" s="1" t="s">
        <v>148</v>
      </c>
      <c r="C643" s="191">
        <v>20409.62</v>
      </c>
      <c r="E643" s="211">
        <v>0</v>
      </c>
      <c r="F643" s="211">
        <v>0</v>
      </c>
      <c r="G643" s="212">
        <f>+E643*C643</f>
        <v>0</v>
      </c>
      <c r="H643" s="212">
        <f>+F643*C643</f>
        <v>0</v>
      </c>
    </row>
    <row r="644" spans="2:8" hidden="1" outlineLevel="2" x14ac:dyDescent="0.25">
      <c r="B644" s="1" t="s">
        <v>149</v>
      </c>
      <c r="C644" s="191">
        <v>38435.51</v>
      </c>
      <c r="E644" s="211">
        <v>0</v>
      </c>
      <c r="F644" s="211">
        <v>0</v>
      </c>
      <c r="G644" s="212">
        <f>+E644*C644</f>
        <v>0</v>
      </c>
      <c r="H644" s="212">
        <f>+F644*C644</f>
        <v>0</v>
      </c>
    </row>
    <row r="645" spans="2:8" hidden="1" outlineLevel="2" x14ac:dyDescent="0.25">
      <c r="B645" s="1" t="s">
        <v>176</v>
      </c>
      <c r="C645" s="191">
        <v>51569.72</v>
      </c>
      <c r="E645" s="211">
        <v>0</v>
      </c>
      <c r="F645" s="211">
        <v>0</v>
      </c>
      <c r="G645" s="212">
        <f>+E645*C645</f>
        <v>0</v>
      </c>
      <c r="H645" s="212">
        <f>+F645*C645</f>
        <v>0</v>
      </c>
    </row>
    <row r="646" spans="2:8" hidden="1" outlineLevel="2" x14ac:dyDescent="0.25">
      <c r="B646" s="1" t="s">
        <v>344</v>
      </c>
      <c r="C646" s="191">
        <v>958.56</v>
      </c>
      <c r="E646" s="211">
        <v>0</v>
      </c>
      <c r="F646" s="211">
        <v>0</v>
      </c>
      <c r="G646" s="212">
        <f>+E646*C646</f>
        <v>0</v>
      </c>
      <c r="H646" s="212">
        <f>+F646*C646</f>
        <v>0</v>
      </c>
    </row>
    <row r="647" spans="2:8" hidden="1" outlineLevel="1" collapsed="1" x14ac:dyDescent="0.25">
      <c r="B647" s="207" t="s">
        <v>177</v>
      </c>
      <c r="C647" s="208">
        <v>126484.85</v>
      </c>
      <c r="E647" s="209"/>
      <c r="F647" s="209"/>
      <c r="G647" s="210"/>
      <c r="H647" s="210"/>
    </row>
    <row r="648" spans="2:8" hidden="1" outlineLevel="2" x14ac:dyDescent="0.25">
      <c r="B648" s="1" t="s">
        <v>178</v>
      </c>
      <c r="C648" s="191">
        <v>7848.02</v>
      </c>
      <c r="E648" s="211">
        <v>0</v>
      </c>
      <c r="F648" s="211">
        <v>0</v>
      </c>
      <c r="G648" s="212">
        <f>+E648*C648</f>
        <v>0</v>
      </c>
      <c r="H648" s="212">
        <f>+F648*C648</f>
        <v>0</v>
      </c>
    </row>
    <row r="649" spans="2:8" hidden="1" outlineLevel="2" x14ac:dyDescent="0.25">
      <c r="B649" s="1" t="s">
        <v>345</v>
      </c>
      <c r="C649" s="191">
        <v>9347.3799999999992</v>
      </c>
      <c r="E649" s="211">
        <v>0</v>
      </c>
      <c r="F649" s="211">
        <v>0</v>
      </c>
      <c r="G649" s="212">
        <f>+E649*C649</f>
        <v>0</v>
      </c>
      <c r="H649" s="212">
        <f>+F649*C649</f>
        <v>0</v>
      </c>
    </row>
    <row r="650" spans="2:8" hidden="1" outlineLevel="2" x14ac:dyDescent="0.25">
      <c r="B650" s="1" t="s">
        <v>346</v>
      </c>
      <c r="C650" s="191">
        <v>2564.4</v>
      </c>
      <c r="E650" s="211">
        <v>0</v>
      </c>
      <c r="F650" s="211">
        <v>0</v>
      </c>
      <c r="G650" s="212">
        <f>+E650*C650</f>
        <v>0</v>
      </c>
      <c r="H650" s="212">
        <f>+F650*C650</f>
        <v>0</v>
      </c>
    </row>
    <row r="651" spans="2:8" hidden="1" outlineLevel="2" x14ac:dyDescent="0.25">
      <c r="B651" s="1" t="s">
        <v>347</v>
      </c>
      <c r="C651" s="191">
        <v>1710.04</v>
      </c>
      <c r="E651" s="211">
        <v>0</v>
      </c>
      <c r="F651" s="211">
        <v>0</v>
      </c>
      <c r="G651" s="212">
        <f>+E651*C651</f>
        <v>0</v>
      </c>
      <c r="H651" s="212">
        <f>+F651*C651</f>
        <v>0</v>
      </c>
    </row>
    <row r="652" spans="2:8" hidden="1" outlineLevel="2" x14ac:dyDescent="0.25">
      <c r="B652" s="1" t="s">
        <v>348</v>
      </c>
      <c r="C652" s="191">
        <v>872.84</v>
      </c>
      <c r="E652" s="211">
        <v>0</v>
      </c>
      <c r="F652" s="211">
        <v>0</v>
      </c>
      <c r="G652" s="212">
        <f>+E652*C652</f>
        <v>0</v>
      </c>
      <c r="H652" s="212">
        <f>+F652*C652</f>
        <v>0</v>
      </c>
    </row>
    <row r="653" spans="2:8" hidden="1" outlineLevel="2" x14ac:dyDescent="0.25">
      <c r="B653" s="1" t="s">
        <v>349</v>
      </c>
      <c r="C653" s="191">
        <v>463.16</v>
      </c>
      <c r="E653" s="211">
        <v>0</v>
      </c>
      <c r="F653" s="211">
        <v>0</v>
      </c>
      <c r="G653" s="212">
        <f>+E653*C653</f>
        <v>0</v>
      </c>
      <c r="H653" s="212">
        <f>+F653*C653</f>
        <v>0</v>
      </c>
    </row>
    <row r="654" spans="2:8" hidden="1" outlineLevel="2" x14ac:dyDescent="0.25">
      <c r="B654" s="1" t="s">
        <v>350</v>
      </c>
      <c r="C654" s="191">
        <v>1923.92</v>
      </c>
      <c r="E654" s="211">
        <v>0</v>
      </c>
      <c r="F654" s="211">
        <v>0</v>
      </c>
      <c r="G654" s="212">
        <f>+E654*C654</f>
        <v>0</v>
      </c>
      <c r="H654" s="212">
        <f>+F654*C654</f>
        <v>0</v>
      </c>
    </row>
    <row r="655" spans="2:8" hidden="1" outlineLevel="2" x14ac:dyDescent="0.25">
      <c r="B655" s="1" t="s">
        <v>351</v>
      </c>
      <c r="C655" s="191">
        <v>1683.57</v>
      </c>
      <c r="E655" s="211">
        <v>0</v>
      </c>
      <c r="F655" s="211">
        <v>0</v>
      </c>
      <c r="G655" s="212">
        <f>+E655*C655</f>
        <v>0</v>
      </c>
      <c r="H655" s="212">
        <f>+F655*C655</f>
        <v>0</v>
      </c>
    </row>
    <row r="656" spans="2:8" hidden="1" outlineLevel="2" x14ac:dyDescent="0.25">
      <c r="B656" s="1" t="s">
        <v>181</v>
      </c>
      <c r="C656" s="191">
        <v>3634.5</v>
      </c>
      <c r="E656" s="211">
        <v>0</v>
      </c>
      <c r="F656" s="211">
        <v>0</v>
      </c>
      <c r="G656" s="212">
        <f>+E656*C656</f>
        <v>0</v>
      </c>
      <c r="H656" s="212">
        <f>+F656*C656</f>
        <v>0</v>
      </c>
    </row>
    <row r="657" spans="2:8" hidden="1" outlineLevel="2" x14ac:dyDescent="0.25">
      <c r="B657" s="1" t="s">
        <v>352</v>
      </c>
      <c r="C657" s="191">
        <v>4115.76</v>
      </c>
      <c r="E657" s="211">
        <v>0</v>
      </c>
      <c r="F657" s="211">
        <v>0</v>
      </c>
      <c r="G657" s="212">
        <f>+E657*C657</f>
        <v>0</v>
      </c>
      <c r="H657" s="212">
        <f>+F657*C657</f>
        <v>0</v>
      </c>
    </row>
    <row r="658" spans="2:8" hidden="1" outlineLevel="2" x14ac:dyDescent="0.25">
      <c r="B658" s="1" t="s">
        <v>353</v>
      </c>
      <c r="C658" s="191">
        <v>6948.8</v>
      </c>
      <c r="E658" s="211">
        <v>0</v>
      </c>
      <c r="F658" s="211">
        <v>0</v>
      </c>
      <c r="G658" s="212">
        <f>+E658*C658</f>
        <v>0</v>
      </c>
      <c r="H658" s="212">
        <f>+F658*C658</f>
        <v>0</v>
      </c>
    </row>
    <row r="659" spans="2:8" hidden="1" outlineLevel="2" x14ac:dyDescent="0.25">
      <c r="B659" s="1" t="s">
        <v>354</v>
      </c>
      <c r="C659" s="191">
        <v>7983.2</v>
      </c>
      <c r="E659" s="211">
        <v>0</v>
      </c>
      <c r="F659" s="211">
        <v>0</v>
      </c>
      <c r="G659" s="212">
        <f>+E659*C659</f>
        <v>0</v>
      </c>
      <c r="H659" s="212">
        <f>+F659*C659</f>
        <v>0</v>
      </c>
    </row>
    <row r="660" spans="2:8" hidden="1" outlineLevel="2" x14ac:dyDescent="0.25">
      <c r="B660" s="1" t="s">
        <v>186</v>
      </c>
      <c r="C660" s="191">
        <v>17107.439999999999</v>
      </c>
      <c r="E660" s="211">
        <v>0</v>
      </c>
      <c r="F660" s="211">
        <v>0</v>
      </c>
      <c r="G660" s="212">
        <f>+E660*C660</f>
        <v>0</v>
      </c>
      <c r="H660" s="212">
        <f>+F660*C660</f>
        <v>0</v>
      </c>
    </row>
    <row r="661" spans="2:8" hidden="1" outlineLevel="2" x14ac:dyDescent="0.25">
      <c r="B661" s="1" t="s">
        <v>165</v>
      </c>
      <c r="C661" s="191">
        <v>3974.1</v>
      </c>
      <c r="E661" s="211">
        <v>0</v>
      </c>
      <c r="F661" s="211">
        <v>0</v>
      </c>
      <c r="G661" s="212">
        <f>+E661*C661</f>
        <v>0</v>
      </c>
      <c r="H661" s="212">
        <f>+F661*C661</f>
        <v>0</v>
      </c>
    </row>
    <row r="662" spans="2:8" hidden="1" outlineLevel="2" x14ac:dyDescent="0.25">
      <c r="B662" s="1" t="s">
        <v>187</v>
      </c>
      <c r="C662" s="191">
        <v>27590.82</v>
      </c>
      <c r="E662" s="211">
        <v>0</v>
      </c>
      <c r="F662" s="211">
        <v>0</v>
      </c>
      <c r="G662" s="212">
        <f>+E662*C662</f>
        <v>0</v>
      </c>
      <c r="H662" s="212">
        <f>+F662*C662</f>
        <v>0</v>
      </c>
    </row>
    <row r="663" spans="2:8" hidden="1" outlineLevel="2" x14ac:dyDescent="0.25">
      <c r="B663" s="1" t="s">
        <v>131</v>
      </c>
      <c r="C663" s="191">
        <v>2488.67</v>
      </c>
      <c r="E663" s="211">
        <v>0</v>
      </c>
      <c r="F663" s="211">
        <v>0</v>
      </c>
      <c r="G663" s="212">
        <f>+E663*C663</f>
        <v>0</v>
      </c>
      <c r="H663" s="212">
        <f>+F663*C663</f>
        <v>0</v>
      </c>
    </row>
    <row r="664" spans="2:8" hidden="1" outlineLevel="2" x14ac:dyDescent="0.25">
      <c r="B664" s="1" t="s">
        <v>166</v>
      </c>
      <c r="C664" s="191">
        <v>24031.53</v>
      </c>
      <c r="E664" s="211">
        <v>0</v>
      </c>
      <c r="F664" s="211">
        <v>0</v>
      </c>
      <c r="G664" s="212">
        <f>+E664*C664</f>
        <v>0</v>
      </c>
      <c r="H664" s="212">
        <f>+F664*C664</f>
        <v>0</v>
      </c>
    </row>
    <row r="665" spans="2:8" hidden="1" outlineLevel="2" x14ac:dyDescent="0.25">
      <c r="B665" s="1" t="s">
        <v>188</v>
      </c>
      <c r="C665" s="191">
        <v>2196.6999999999998</v>
      </c>
      <c r="E665" s="211">
        <v>0</v>
      </c>
      <c r="F665" s="211">
        <v>0</v>
      </c>
      <c r="G665" s="212">
        <f>+E665*C665</f>
        <v>0</v>
      </c>
      <c r="H665" s="212">
        <f>+F665*C665</f>
        <v>0</v>
      </c>
    </row>
    <row r="666" spans="2:8" hidden="1" outlineLevel="1" collapsed="1" x14ac:dyDescent="0.25">
      <c r="B666" s="207" t="s">
        <v>189</v>
      </c>
      <c r="C666" s="208">
        <v>90820.99</v>
      </c>
      <c r="E666" s="209"/>
      <c r="F666" s="209"/>
      <c r="G666" s="210"/>
      <c r="H666" s="210"/>
    </row>
    <row r="667" spans="2:8" hidden="1" outlineLevel="2" x14ac:dyDescent="0.25">
      <c r="B667" s="1" t="s">
        <v>138</v>
      </c>
      <c r="C667" s="191">
        <v>4464.6000000000004</v>
      </c>
      <c r="E667" s="211">
        <v>0</v>
      </c>
      <c r="F667" s="211">
        <v>0</v>
      </c>
      <c r="G667" s="212">
        <f>+E667*C667</f>
        <v>0</v>
      </c>
      <c r="H667" s="212">
        <f>+F667*C667</f>
        <v>0</v>
      </c>
    </row>
    <row r="668" spans="2:8" hidden="1" outlineLevel="2" x14ac:dyDescent="0.25">
      <c r="B668" s="1" t="s">
        <v>190</v>
      </c>
      <c r="C668" s="191">
        <v>14239.78</v>
      </c>
      <c r="E668" s="211">
        <v>0</v>
      </c>
      <c r="F668" s="211">
        <v>0</v>
      </c>
      <c r="G668" s="212">
        <f>+E668*C668</f>
        <v>0</v>
      </c>
      <c r="H668" s="212">
        <f>+F668*C668</f>
        <v>0</v>
      </c>
    </row>
    <row r="669" spans="2:8" hidden="1" outlineLevel="2" x14ac:dyDescent="0.25">
      <c r="B669" s="1" t="s">
        <v>355</v>
      </c>
      <c r="C669" s="191">
        <v>20649.03</v>
      </c>
      <c r="E669" s="211">
        <v>0</v>
      </c>
      <c r="F669" s="211">
        <v>0</v>
      </c>
      <c r="G669" s="212">
        <f>+E669*C669</f>
        <v>0</v>
      </c>
      <c r="H669" s="212">
        <f>+F669*C669</f>
        <v>0</v>
      </c>
    </row>
    <row r="670" spans="2:8" hidden="1" outlineLevel="2" x14ac:dyDescent="0.25">
      <c r="B670" s="1" t="s">
        <v>192</v>
      </c>
      <c r="C670" s="191">
        <v>4296.96</v>
      </c>
      <c r="E670" s="211">
        <v>0</v>
      </c>
      <c r="F670" s="211">
        <v>0</v>
      </c>
      <c r="G670" s="212">
        <f>+E670*C670</f>
        <v>0</v>
      </c>
      <c r="H670" s="212">
        <f>+F670*C670</f>
        <v>0</v>
      </c>
    </row>
    <row r="671" spans="2:8" hidden="1" outlineLevel="2" x14ac:dyDescent="0.25">
      <c r="B671" s="1" t="s">
        <v>356</v>
      </c>
      <c r="C671" s="191">
        <v>2318.3200000000002</v>
      </c>
      <c r="E671" s="211">
        <v>0</v>
      </c>
      <c r="F671" s="211">
        <v>0</v>
      </c>
      <c r="G671" s="212">
        <f>+E671*C671</f>
        <v>0</v>
      </c>
      <c r="H671" s="212">
        <f>+F671*C671</f>
        <v>0</v>
      </c>
    </row>
    <row r="672" spans="2:8" hidden="1" outlineLevel="2" x14ac:dyDescent="0.25">
      <c r="B672" s="1" t="s">
        <v>193</v>
      </c>
      <c r="C672" s="191">
        <v>5749.92</v>
      </c>
      <c r="E672" s="211">
        <v>0</v>
      </c>
      <c r="F672" s="211">
        <v>0</v>
      </c>
      <c r="G672" s="212">
        <f>+E672*C672</f>
        <v>0</v>
      </c>
      <c r="H672" s="212">
        <f>+F672*C672</f>
        <v>0</v>
      </c>
    </row>
    <row r="673" spans="2:8" hidden="1" outlineLevel="2" x14ac:dyDescent="0.25">
      <c r="B673" s="1" t="s">
        <v>357</v>
      </c>
      <c r="C673" s="191">
        <v>36613.71</v>
      </c>
      <c r="E673" s="211">
        <v>0</v>
      </c>
      <c r="F673" s="211">
        <v>0</v>
      </c>
      <c r="G673" s="212">
        <f>+E673*C673</f>
        <v>0</v>
      </c>
      <c r="H673" s="212">
        <f>+F673*C673</f>
        <v>0</v>
      </c>
    </row>
    <row r="674" spans="2:8" hidden="1" outlineLevel="2" x14ac:dyDescent="0.25">
      <c r="B674" s="1" t="s">
        <v>131</v>
      </c>
      <c r="C674" s="191">
        <v>2488.67</v>
      </c>
      <c r="E674" s="211">
        <v>0</v>
      </c>
      <c r="F674" s="211">
        <v>0</v>
      </c>
      <c r="G674" s="212">
        <f>+E674*C674</f>
        <v>0</v>
      </c>
      <c r="H674" s="212">
        <f>+F674*C674</f>
        <v>0</v>
      </c>
    </row>
    <row r="675" spans="2:8" hidden="1" outlineLevel="1" collapsed="1" x14ac:dyDescent="0.25">
      <c r="B675" s="207" t="s">
        <v>195</v>
      </c>
      <c r="C675" s="208">
        <v>7350.66</v>
      </c>
      <c r="E675" s="209"/>
      <c r="F675" s="209"/>
      <c r="G675" s="210"/>
      <c r="H675" s="210"/>
    </row>
    <row r="676" spans="2:8" hidden="1" outlineLevel="2" x14ac:dyDescent="0.25">
      <c r="B676" s="1" t="s">
        <v>196</v>
      </c>
      <c r="C676" s="191">
        <v>5509.8</v>
      </c>
      <c r="E676" s="211">
        <v>0</v>
      </c>
      <c r="F676" s="211">
        <v>0</v>
      </c>
      <c r="G676" s="212">
        <f>+E676*C676</f>
        <v>0</v>
      </c>
      <c r="H676" s="212">
        <f>+F676*C676</f>
        <v>0</v>
      </c>
    </row>
    <row r="677" spans="2:8" hidden="1" outlineLevel="2" x14ac:dyDescent="0.25">
      <c r="B677" s="1" t="s">
        <v>197</v>
      </c>
      <c r="C677" s="191">
        <v>1840.86</v>
      </c>
      <c r="E677" s="211">
        <v>0</v>
      </c>
      <c r="F677" s="211">
        <v>0</v>
      </c>
      <c r="G677" s="212">
        <f>+E677*C677</f>
        <v>0</v>
      </c>
      <c r="H677" s="212">
        <f>+F677*C677</f>
        <v>0</v>
      </c>
    </row>
    <row r="678" spans="2:8" hidden="1" outlineLevel="1" collapsed="1" x14ac:dyDescent="0.25">
      <c r="B678" s="207" t="s">
        <v>198</v>
      </c>
      <c r="C678" s="208">
        <v>25050.720000000001</v>
      </c>
      <c r="E678" s="209"/>
      <c r="F678" s="209"/>
      <c r="G678" s="210"/>
      <c r="H678" s="210"/>
    </row>
    <row r="679" spans="2:8" hidden="1" outlineLevel="2" x14ac:dyDescent="0.25">
      <c r="B679" s="1" t="s">
        <v>199</v>
      </c>
      <c r="C679" s="191">
        <v>3716.95</v>
      </c>
      <c r="E679" s="211">
        <v>0</v>
      </c>
      <c r="F679" s="211">
        <v>0</v>
      </c>
      <c r="G679" s="212">
        <f>+E679*C679</f>
        <v>0</v>
      </c>
      <c r="H679" s="212">
        <f>+F679*C679</f>
        <v>0</v>
      </c>
    </row>
    <row r="680" spans="2:8" hidden="1" outlineLevel="2" x14ac:dyDescent="0.25">
      <c r="B680" s="1" t="s">
        <v>200</v>
      </c>
      <c r="C680" s="191">
        <v>21333.77</v>
      </c>
      <c r="E680" s="211">
        <v>0</v>
      </c>
      <c r="F680" s="211">
        <v>0</v>
      </c>
      <c r="G680" s="212">
        <f>+E680*C680</f>
        <v>0</v>
      </c>
      <c r="H680" s="212">
        <f>+F680*C680</f>
        <v>0</v>
      </c>
    </row>
    <row r="681" spans="2:8" hidden="1" outlineLevel="1" collapsed="1" x14ac:dyDescent="0.25">
      <c r="B681" s="207" t="s">
        <v>201</v>
      </c>
      <c r="C681" s="208">
        <v>188894.05</v>
      </c>
      <c r="E681" s="209"/>
      <c r="F681" s="209"/>
      <c r="G681" s="210"/>
      <c r="H681" s="210"/>
    </row>
    <row r="682" spans="2:8" hidden="1" outlineLevel="2" x14ac:dyDescent="0.25">
      <c r="B682" s="1" t="s">
        <v>202</v>
      </c>
      <c r="C682" s="191">
        <v>2170.59</v>
      </c>
      <c r="E682" s="211">
        <v>0</v>
      </c>
      <c r="F682" s="211">
        <v>0</v>
      </c>
      <c r="G682" s="212">
        <f>+E682*C682</f>
        <v>0</v>
      </c>
      <c r="H682" s="212">
        <f>+F682*C682</f>
        <v>0</v>
      </c>
    </row>
    <row r="683" spans="2:8" hidden="1" outlineLevel="2" x14ac:dyDescent="0.25">
      <c r="B683" s="1" t="s">
        <v>358</v>
      </c>
      <c r="C683" s="191">
        <v>0</v>
      </c>
      <c r="E683" s="211">
        <v>0</v>
      </c>
      <c r="F683" s="211">
        <v>0</v>
      </c>
      <c r="G683" s="212">
        <f>+E683*C683</f>
        <v>0</v>
      </c>
      <c r="H683" s="212">
        <f>+F683*C683</f>
        <v>0</v>
      </c>
    </row>
    <row r="684" spans="2:8" hidden="1" outlineLevel="2" x14ac:dyDescent="0.25">
      <c r="B684" s="1" t="s">
        <v>359</v>
      </c>
      <c r="C684" s="191">
        <v>9159.15</v>
      </c>
      <c r="E684" s="211">
        <v>0</v>
      </c>
      <c r="F684" s="211">
        <v>0</v>
      </c>
      <c r="G684" s="212">
        <f>+E684*C684</f>
        <v>0</v>
      </c>
      <c r="H684" s="212">
        <f>+F684*C684</f>
        <v>0</v>
      </c>
    </row>
    <row r="685" spans="2:8" hidden="1" outlineLevel="2" x14ac:dyDescent="0.25">
      <c r="B685" s="1" t="s">
        <v>360</v>
      </c>
      <c r="C685" s="191">
        <v>6332.5</v>
      </c>
      <c r="E685" s="211">
        <v>0</v>
      </c>
      <c r="F685" s="211">
        <v>0</v>
      </c>
      <c r="G685" s="212">
        <f>+E685*C685</f>
        <v>0</v>
      </c>
      <c r="H685" s="212">
        <f>+F685*C685</f>
        <v>0</v>
      </c>
    </row>
    <row r="686" spans="2:8" hidden="1" outlineLevel="2" x14ac:dyDescent="0.25">
      <c r="B686" s="1" t="s">
        <v>361</v>
      </c>
      <c r="C686" s="191">
        <v>1656.86</v>
      </c>
      <c r="E686" s="211">
        <v>0</v>
      </c>
      <c r="F686" s="211">
        <v>0</v>
      </c>
      <c r="G686" s="212">
        <f>+E686*C686</f>
        <v>0</v>
      </c>
      <c r="H686" s="212">
        <f>+F686*C686</f>
        <v>0</v>
      </c>
    </row>
    <row r="687" spans="2:8" hidden="1" outlineLevel="2" x14ac:dyDescent="0.25">
      <c r="B687" s="1" t="s">
        <v>362</v>
      </c>
      <c r="C687" s="191">
        <v>261.52999999999997</v>
      </c>
      <c r="E687" s="211">
        <v>0</v>
      </c>
      <c r="F687" s="211">
        <v>0</v>
      </c>
      <c r="G687" s="212">
        <f>+E687*C687</f>
        <v>0</v>
      </c>
      <c r="H687" s="212">
        <f>+F687*C687</f>
        <v>0</v>
      </c>
    </row>
    <row r="688" spans="2:8" hidden="1" outlineLevel="2" x14ac:dyDescent="0.25">
      <c r="B688" s="1" t="s">
        <v>363</v>
      </c>
      <c r="C688" s="191">
        <v>1615.32</v>
      </c>
      <c r="E688" s="211">
        <v>0</v>
      </c>
      <c r="F688" s="211">
        <v>0</v>
      </c>
      <c r="G688" s="212">
        <f>+E688*C688</f>
        <v>0</v>
      </c>
      <c r="H688" s="212">
        <f>+F688*C688</f>
        <v>0</v>
      </c>
    </row>
    <row r="689" spans="2:8" hidden="1" outlineLevel="2" x14ac:dyDescent="0.25">
      <c r="B689" s="1" t="s">
        <v>203</v>
      </c>
      <c r="C689" s="191">
        <v>3892.35</v>
      </c>
      <c r="E689" s="211">
        <v>0</v>
      </c>
      <c r="F689" s="211">
        <v>0</v>
      </c>
      <c r="G689" s="212">
        <f>+E689*C689</f>
        <v>0</v>
      </c>
      <c r="H689" s="212">
        <f>+F689*C689</f>
        <v>0</v>
      </c>
    </row>
    <row r="690" spans="2:8" hidden="1" outlineLevel="2" x14ac:dyDescent="0.25">
      <c r="B690" s="1" t="s">
        <v>204</v>
      </c>
      <c r="C690" s="191">
        <v>103.26</v>
      </c>
      <c r="E690" s="211">
        <v>0</v>
      </c>
      <c r="F690" s="211">
        <v>0</v>
      </c>
      <c r="G690" s="212">
        <f>+E690*C690</f>
        <v>0</v>
      </c>
      <c r="H690" s="212">
        <f>+F690*C690</f>
        <v>0</v>
      </c>
    </row>
    <row r="691" spans="2:8" hidden="1" outlineLevel="2" x14ac:dyDescent="0.25">
      <c r="B691" s="1" t="s">
        <v>205</v>
      </c>
      <c r="C691" s="191">
        <v>2300.16</v>
      </c>
      <c r="E691" s="211">
        <v>0</v>
      </c>
      <c r="F691" s="211">
        <v>0</v>
      </c>
      <c r="G691" s="212">
        <f>+E691*C691</f>
        <v>0</v>
      </c>
      <c r="H691" s="212">
        <f>+F691*C691</f>
        <v>0</v>
      </c>
    </row>
    <row r="692" spans="2:8" hidden="1" outlineLevel="2" x14ac:dyDescent="0.25">
      <c r="B692" s="1" t="s">
        <v>206</v>
      </c>
      <c r="C692" s="191">
        <v>697.01</v>
      </c>
      <c r="E692" s="211">
        <v>0</v>
      </c>
      <c r="F692" s="211">
        <v>0</v>
      </c>
      <c r="G692" s="212">
        <f>+E692*C692</f>
        <v>0</v>
      </c>
      <c r="H692" s="212">
        <f>+F692*C692</f>
        <v>0</v>
      </c>
    </row>
    <row r="693" spans="2:8" hidden="1" outlineLevel="2" x14ac:dyDescent="0.25">
      <c r="B693" s="1" t="s">
        <v>121</v>
      </c>
      <c r="C693" s="191">
        <v>574.99</v>
      </c>
      <c r="E693" s="211">
        <v>0</v>
      </c>
      <c r="F693" s="211">
        <v>0</v>
      </c>
      <c r="G693" s="212">
        <f>+E693*C693</f>
        <v>0</v>
      </c>
      <c r="H693" s="212">
        <f>+F693*C693</f>
        <v>0</v>
      </c>
    </row>
    <row r="694" spans="2:8" hidden="1" outlineLevel="2" x14ac:dyDescent="0.25">
      <c r="B694" s="1" t="s">
        <v>207</v>
      </c>
      <c r="C694" s="191">
        <v>4001.07</v>
      </c>
      <c r="E694" s="211">
        <v>0</v>
      </c>
      <c r="F694" s="211">
        <v>0</v>
      </c>
      <c r="G694" s="212">
        <f>+E694*C694</f>
        <v>0</v>
      </c>
      <c r="H694" s="212">
        <f>+F694*C694</f>
        <v>0</v>
      </c>
    </row>
    <row r="695" spans="2:8" hidden="1" outlineLevel="2" x14ac:dyDescent="0.25">
      <c r="B695" s="1" t="s">
        <v>208</v>
      </c>
      <c r="C695" s="191">
        <v>582.16999999999996</v>
      </c>
      <c r="E695" s="211">
        <v>0</v>
      </c>
      <c r="F695" s="211">
        <v>0</v>
      </c>
      <c r="G695" s="212">
        <f>+E695*C695</f>
        <v>0</v>
      </c>
      <c r="H695" s="212">
        <f>+F695*C695</f>
        <v>0</v>
      </c>
    </row>
    <row r="696" spans="2:8" hidden="1" outlineLevel="2" x14ac:dyDescent="0.25">
      <c r="B696" s="1" t="s">
        <v>124</v>
      </c>
      <c r="C696" s="191">
        <v>574.99</v>
      </c>
      <c r="E696" s="211">
        <v>0</v>
      </c>
      <c r="F696" s="211">
        <v>0</v>
      </c>
      <c r="G696" s="212">
        <f>+E696*C696</f>
        <v>0</v>
      </c>
      <c r="H696" s="212">
        <f>+F696*C696</f>
        <v>0</v>
      </c>
    </row>
    <row r="697" spans="2:8" hidden="1" outlineLevel="2" x14ac:dyDescent="0.25">
      <c r="B697" s="1" t="s">
        <v>209</v>
      </c>
      <c r="C697" s="191">
        <v>5038.08</v>
      </c>
      <c r="E697" s="211">
        <v>0</v>
      </c>
      <c r="F697" s="211">
        <v>0</v>
      </c>
      <c r="G697" s="212">
        <f>+E697*C697</f>
        <v>0</v>
      </c>
      <c r="H697" s="212">
        <f>+F697*C697</f>
        <v>0</v>
      </c>
    </row>
    <row r="698" spans="2:8" hidden="1" outlineLevel="2" x14ac:dyDescent="0.25">
      <c r="B698" s="1" t="s">
        <v>210</v>
      </c>
      <c r="C698" s="191">
        <v>19232.099999999999</v>
      </c>
      <c r="E698" s="211">
        <v>0</v>
      </c>
      <c r="F698" s="211">
        <v>0</v>
      </c>
      <c r="G698" s="212">
        <f>+E698*C698</f>
        <v>0</v>
      </c>
      <c r="H698" s="212">
        <f>+F698*C698</f>
        <v>0</v>
      </c>
    </row>
    <row r="699" spans="2:8" hidden="1" outlineLevel="2" x14ac:dyDescent="0.25">
      <c r="B699" s="1" t="s">
        <v>131</v>
      </c>
      <c r="C699" s="191">
        <v>961.86</v>
      </c>
      <c r="E699" s="211">
        <v>0</v>
      </c>
      <c r="F699" s="211">
        <v>0</v>
      </c>
      <c r="G699" s="212">
        <f>+E699*C699</f>
        <v>0</v>
      </c>
      <c r="H699" s="212">
        <f>+F699*C699</f>
        <v>0</v>
      </c>
    </row>
    <row r="700" spans="2:8" hidden="1" outlineLevel="2" x14ac:dyDescent="0.25">
      <c r="B700" s="1" t="s">
        <v>211</v>
      </c>
      <c r="C700" s="191">
        <v>34476.089999999997</v>
      </c>
      <c r="E700" s="211">
        <v>0</v>
      </c>
      <c r="F700" s="211">
        <v>0</v>
      </c>
      <c r="G700" s="212">
        <f>+E700*C700</f>
        <v>0</v>
      </c>
      <c r="H700" s="212">
        <f>+F700*C700</f>
        <v>0</v>
      </c>
    </row>
    <row r="701" spans="2:8" hidden="1" outlineLevel="2" x14ac:dyDescent="0.25">
      <c r="B701" s="1" t="s">
        <v>212</v>
      </c>
      <c r="C701" s="191">
        <v>7984.25</v>
      </c>
      <c r="E701" s="211">
        <v>0</v>
      </c>
      <c r="F701" s="211">
        <v>0</v>
      </c>
      <c r="G701" s="212">
        <f>+E701*C701</f>
        <v>0</v>
      </c>
      <c r="H701" s="212">
        <f>+F701*C701</f>
        <v>0</v>
      </c>
    </row>
    <row r="702" spans="2:8" hidden="1" outlineLevel="2" x14ac:dyDescent="0.25">
      <c r="B702" s="1" t="s">
        <v>131</v>
      </c>
      <c r="C702" s="191">
        <v>399.32</v>
      </c>
      <c r="E702" s="211">
        <v>0</v>
      </c>
      <c r="F702" s="211">
        <v>0</v>
      </c>
      <c r="G702" s="212">
        <f>+E702*C702</f>
        <v>0</v>
      </c>
      <c r="H702" s="212">
        <f>+F702*C702</f>
        <v>0</v>
      </c>
    </row>
    <row r="703" spans="2:8" hidden="1" outlineLevel="2" x14ac:dyDescent="0.25">
      <c r="B703" s="1" t="s">
        <v>213</v>
      </c>
      <c r="C703" s="191">
        <v>742.91</v>
      </c>
      <c r="E703" s="211">
        <v>0</v>
      </c>
      <c r="F703" s="211">
        <v>0</v>
      </c>
      <c r="G703" s="212">
        <f>+E703*C703</f>
        <v>0</v>
      </c>
      <c r="H703" s="212">
        <f>+F703*C703</f>
        <v>0</v>
      </c>
    </row>
    <row r="704" spans="2:8" hidden="1" outlineLevel="2" x14ac:dyDescent="0.25">
      <c r="B704" s="1" t="s">
        <v>214</v>
      </c>
      <c r="C704" s="191">
        <v>9692.98</v>
      </c>
      <c r="E704" s="211">
        <v>0</v>
      </c>
      <c r="F704" s="211">
        <v>0</v>
      </c>
      <c r="G704" s="212">
        <f>+E704*C704</f>
        <v>0</v>
      </c>
      <c r="H704" s="212">
        <f>+F704*C704</f>
        <v>0</v>
      </c>
    </row>
    <row r="705" spans="2:8" hidden="1" outlineLevel="2" x14ac:dyDescent="0.25">
      <c r="B705" s="1" t="s">
        <v>364</v>
      </c>
      <c r="C705" s="191">
        <v>29626.57</v>
      </c>
      <c r="E705" s="211">
        <v>0</v>
      </c>
      <c r="F705" s="211">
        <v>0</v>
      </c>
      <c r="G705" s="212">
        <f>+E705*C705</f>
        <v>0</v>
      </c>
      <c r="H705" s="212">
        <f>+F705*C705</f>
        <v>0</v>
      </c>
    </row>
    <row r="706" spans="2:8" hidden="1" outlineLevel="2" x14ac:dyDescent="0.25">
      <c r="B706" s="1" t="s">
        <v>365</v>
      </c>
      <c r="C706" s="191">
        <v>33171.08</v>
      </c>
      <c r="E706" s="211">
        <v>0</v>
      </c>
      <c r="F706" s="211">
        <v>0</v>
      </c>
      <c r="G706" s="212">
        <f>+E706*C706</f>
        <v>0</v>
      </c>
      <c r="H706" s="212">
        <f>+F706*C706</f>
        <v>0</v>
      </c>
    </row>
    <row r="707" spans="2:8" hidden="1" outlineLevel="2" x14ac:dyDescent="0.25">
      <c r="B707" s="1" t="s">
        <v>366</v>
      </c>
      <c r="C707" s="191">
        <v>13646.86</v>
      </c>
      <c r="E707" s="211">
        <v>0</v>
      </c>
      <c r="F707" s="211">
        <v>0</v>
      </c>
      <c r="G707" s="212">
        <f>+E707*C707</f>
        <v>0</v>
      </c>
      <c r="H707" s="212">
        <f>+F707*C707</f>
        <v>0</v>
      </c>
    </row>
    <row r="708" spans="2:8" hidden="1" outlineLevel="1" collapsed="1" x14ac:dyDescent="0.25">
      <c r="B708" s="207" t="s">
        <v>216</v>
      </c>
      <c r="C708" s="208">
        <v>166532.97</v>
      </c>
      <c r="E708" s="209"/>
      <c r="F708" s="209"/>
      <c r="G708" s="210"/>
      <c r="H708" s="210"/>
    </row>
    <row r="709" spans="2:8" hidden="1" outlineLevel="2" x14ac:dyDescent="0.25">
      <c r="B709" s="1" t="s">
        <v>217</v>
      </c>
      <c r="C709" s="191">
        <v>64808.09</v>
      </c>
      <c r="E709" s="211">
        <v>0</v>
      </c>
      <c r="F709" s="211">
        <v>0</v>
      </c>
      <c r="G709" s="212">
        <f>+E709*C709</f>
        <v>0</v>
      </c>
      <c r="H709" s="212">
        <f>+F709*C709</f>
        <v>0</v>
      </c>
    </row>
    <row r="710" spans="2:8" hidden="1" outlineLevel="2" x14ac:dyDescent="0.25">
      <c r="B710" s="1" t="s">
        <v>218</v>
      </c>
      <c r="C710" s="191">
        <v>38790.660000000003</v>
      </c>
      <c r="E710" s="211">
        <v>0</v>
      </c>
      <c r="F710" s="211">
        <v>0</v>
      </c>
      <c r="G710" s="212">
        <f>+E710*C710</f>
        <v>0</v>
      </c>
      <c r="H710" s="212">
        <f>+F710*C710</f>
        <v>0</v>
      </c>
    </row>
    <row r="711" spans="2:8" hidden="1" outlineLevel="2" x14ac:dyDescent="0.25">
      <c r="B711" s="1" t="s">
        <v>219</v>
      </c>
      <c r="C711" s="191">
        <v>22861.3</v>
      </c>
      <c r="E711" s="211">
        <v>0</v>
      </c>
      <c r="F711" s="211">
        <v>0</v>
      </c>
      <c r="G711" s="212">
        <f>+E711*C711</f>
        <v>0</v>
      </c>
      <c r="H711" s="212">
        <f>+F711*C711</f>
        <v>0</v>
      </c>
    </row>
    <row r="712" spans="2:8" hidden="1" outlineLevel="2" x14ac:dyDescent="0.25">
      <c r="B712" s="1" t="s">
        <v>220</v>
      </c>
      <c r="C712" s="191">
        <v>3311.24</v>
      </c>
      <c r="E712" s="211">
        <v>0</v>
      </c>
      <c r="F712" s="211">
        <v>0</v>
      </c>
      <c r="G712" s="212">
        <f>+E712*C712</f>
        <v>0</v>
      </c>
      <c r="H712" s="212">
        <f>+F712*C712</f>
        <v>0</v>
      </c>
    </row>
    <row r="713" spans="2:8" hidden="1" outlineLevel="2" x14ac:dyDescent="0.25">
      <c r="B713" s="1" t="s">
        <v>367</v>
      </c>
      <c r="C713" s="191">
        <v>17500.990000000002</v>
      </c>
      <c r="E713" s="211">
        <v>0</v>
      </c>
      <c r="F713" s="211">
        <v>0</v>
      </c>
      <c r="G713" s="212">
        <f>+E713*C713</f>
        <v>0</v>
      </c>
      <c r="H713" s="212">
        <f>+F713*C713</f>
        <v>0</v>
      </c>
    </row>
    <row r="714" spans="2:8" hidden="1" outlineLevel="2" x14ac:dyDescent="0.25">
      <c r="B714" s="1" t="s">
        <v>368</v>
      </c>
      <c r="C714" s="191">
        <v>12951.73</v>
      </c>
      <c r="E714" s="211">
        <v>0</v>
      </c>
      <c r="F714" s="211">
        <v>0</v>
      </c>
      <c r="G714" s="212">
        <f>+E714*C714</f>
        <v>0</v>
      </c>
      <c r="H714" s="212">
        <f>+F714*C714</f>
        <v>0</v>
      </c>
    </row>
    <row r="715" spans="2:8" hidden="1" outlineLevel="2" x14ac:dyDescent="0.25">
      <c r="B715" s="1" t="s">
        <v>369</v>
      </c>
      <c r="C715" s="191">
        <v>3589.26</v>
      </c>
      <c r="E715" s="211">
        <v>0</v>
      </c>
      <c r="F715" s="211">
        <v>0</v>
      </c>
      <c r="G715" s="212">
        <f>+E715*C715</f>
        <v>0</v>
      </c>
      <c r="H715" s="212">
        <f>+F715*C715</f>
        <v>0</v>
      </c>
    </row>
    <row r="716" spans="2:8" hidden="1" outlineLevel="2" x14ac:dyDescent="0.25">
      <c r="B716" s="1" t="s">
        <v>370</v>
      </c>
      <c r="C716" s="191">
        <v>2719.7</v>
      </c>
      <c r="E716" s="211">
        <v>0</v>
      </c>
      <c r="F716" s="211">
        <v>0</v>
      </c>
      <c r="G716" s="212">
        <f>+E716*C716</f>
        <v>0</v>
      </c>
      <c r="H716" s="212">
        <f>+F716*C716</f>
        <v>0</v>
      </c>
    </row>
    <row r="717" spans="2:8" hidden="1" outlineLevel="1" collapsed="1" x14ac:dyDescent="0.25">
      <c r="B717" s="207" t="s">
        <v>221</v>
      </c>
      <c r="C717" s="208">
        <v>211896.68</v>
      </c>
      <c r="E717" s="209"/>
      <c r="F717" s="209"/>
      <c r="G717" s="210"/>
      <c r="H717" s="210"/>
    </row>
    <row r="718" spans="2:8" hidden="1" outlineLevel="2" x14ac:dyDescent="0.25">
      <c r="B718" s="1" t="s">
        <v>222</v>
      </c>
      <c r="C718" s="191">
        <v>101452.75</v>
      </c>
      <c r="E718" s="211">
        <v>0</v>
      </c>
      <c r="F718" s="211">
        <v>0</v>
      </c>
      <c r="G718" s="212">
        <f>+E718*C718</f>
        <v>0</v>
      </c>
      <c r="H718" s="212">
        <f>+F718*C718</f>
        <v>0</v>
      </c>
    </row>
    <row r="719" spans="2:8" hidden="1" outlineLevel="2" x14ac:dyDescent="0.25">
      <c r="B719" s="1" t="s">
        <v>371</v>
      </c>
      <c r="C719" s="191">
        <v>5107.7700000000004</v>
      </c>
      <c r="E719" s="211">
        <v>0</v>
      </c>
      <c r="F719" s="211">
        <v>0</v>
      </c>
      <c r="G719" s="212">
        <f>+E719*C719</f>
        <v>0</v>
      </c>
      <c r="H719" s="212">
        <f>+F719*C719</f>
        <v>0</v>
      </c>
    </row>
    <row r="720" spans="2:8" hidden="1" outlineLevel="2" x14ac:dyDescent="0.25">
      <c r="B720" s="1" t="s">
        <v>372</v>
      </c>
      <c r="C720" s="191">
        <v>36924.78</v>
      </c>
      <c r="E720" s="211">
        <v>0</v>
      </c>
      <c r="F720" s="211">
        <v>0</v>
      </c>
      <c r="G720" s="212">
        <f>+E720*C720</f>
        <v>0</v>
      </c>
      <c r="H720" s="212">
        <f>+F720*C720</f>
        <v>0</v>
      </c>
    </row>
    <row r="721" spans="2:8" hidden="1" outlineLevel="2" x14ac:dyDescent="0.25">
      <c r="B721" s="1" t="s">
        <v>373</v>
      </c>
      <c r="C721" s="191">
        <v>6597.05</v>
      </c>
      <c r="E721" s="211">
        <v>0</v>
      </c>
      <c r="F721" s="211">
        <v>0</v>
      </c>
      <c r="G721" s="212">
        <f>+E721*C721</f>
        <v>0</v>
      </c>
      <c r="H721" s="212">
        <f>+F721*C721</f>
        <v>0</v>
      </c>
    </row>
    <row r="722" spans="2:8" hidden="1" outlineLevel="2" x14ac:dyDescent="0.25">
      <c r="B722" s="1" t="s">
        <v>374</v>
      </c>
      <c r="C722" s="191">
        <v>15889.99</v>
      </c>
      <c r="E722" s="211">
        <v>0</v>
      </c>
      <c r="F722" s="211">
        <v>0</v>
      </c>
      <c r="G722" s="212">
        <f>+E722*C722</f>
        <v>0</v>
      </c>
      <c r="H722" s="212">
        <f>+F722*C722</f>
        <v>0</v>
      </c>
    </row>
    <row r="723" spans="2:8" hidden="1" outlineLevel="2" x14ac:dyDescent="0.25">
      <c r="B723" s="1" t="s">
        <v>225</v>
      </c>
      <c r="C723" s="191">
        <v>35433.1</v>
      </c>
      <c r="E723" s="211">
        <v>0</v>
      </c>
      <c r="F723" s="211">
        <v>0</v>
      </c>
      <c r="G723" s="212">
        <f>+E723*C723</f>
        <v>0</v>
      </c>
      <c r="H723" s="212">
        <f>+F723*C723</f>
        <v>0</v>
      </c>
    </row>
    <row r="724" spans="2:8" hidden="1" outlineLevel="2" x14ac:dyDescent="0.25">
      <c r="B724" s="1" t="s">
        <v>227</v>
      </c>
      <c r="C724" s="191">
        <v>10491.24</v>
      </c>
      <c r="E724" s="211">
        <v>0</v>
      </c>
      <c r="F724" s="211">
        <v>0</v>
      </c>
      <c r="G724" s="212">
        <f>+E724*C724</f>
        <v>0</v>
      </c>
      <c r="H724" s="212">
        <f>+F724*C724</f>
        <v>0</v>
      </c>
    </row>
    <row r="725" spans="2:8" hidden="1" outlineLevel="1" collapsed="1" x14ac:dyDescent="0.25">
      <c r="B725" s="207" t="s">
        <v>228</v>
      </c>
      <c r="C725" s="208">
        <v>128336.19</v>
      </c>
      <c r="E725" s="209"/>
      <c r="F725" s="209"/>
      <c r="G725" s="210"/>
      <c r="H725" s="210"/>
    </row>
    <row r="726" spans="2:8" hidden="1" outlineLevel="2" x14ac:dyDescent="0.25">
      <c r="B726" s="1" t="s">
        <v>229</v>
      </c>
      <c r="C726" s="191">
        <v>79508.289999999994</v>
      </c>
      <c r="E726" s="211">
        <v>0</v>
      </c>
      <c r="F726" s="211">
        <v>0</v>
      </c>
      <c r="G726" s="212">
        <f>+E726*C726</f>
        <v>0</v>
      </c>
      <c r="H726" s="212">
        <f>+F726*C726</f>
        <v>0</v>
      </c>
    </row>
    <row r="727" spans="2:8" hidden="1" outlineLevel="2" x14ac:dyDescent="0.25">
      <c r="B727" s="1" t="s">
        <v>375</v>
      </c>
      <c r="C727" s="191">
        <v>66315.990000000005</v>
      </c>
      <c r="E727" s="211">
        <v>0</v>
      </c>
      <c r="F727" s="211">
        <v>0</v>
      </c>
      <c r="G727" s="212">
        <f>+E727*C727</f>
        <v>0</v>
      </c>
      <c r="H727" s="212">
        <f>+F727*C727</f>
        <v>0</v>
      </c>
    </row>
    <row r="728" spans="2:8" hidden="1" outlineLevel="2" x14ac:dyDescent="0.25">
      <c r="B728" s="1" t="s">
        <v>376</v>
      </c>
      <c r="C728" s="191">
        <v>13192.3</v>
      </c>
      <c r="E728" s="211">
        <v>0</v>
      </c>
      <c r="F728" s="211">
        <v>0</v>
      </c>
      <c r="G728" s="212">
        <f>+E728*C728</f>
        <v>0</v>
      </c>
      <c r="H728" s="212">
        <f>+F728*C728</f>
        <v>0</v>
      </c>
    </row>
    <row r="729" spans="2:8" hidden="1" outlineLevel="2" x14ac:dyDescent="0.25">
      <c r="B729" s="1" t="s">
        <v>377</v>
      </c>
      <c r="C729" s="191">
        <v>11266.24</v>
      </c>
      <c r="E729" s="211">
        <v>0</v>
      </c>
      <c r="F729" s="211">
        <v>0</v>
      </c>
      <c r="G729" s="212">
        <f>+E729*C729</f>
        <v>0</v>
      </c>
      <c r="H729" s="212">
        <f>+F729*C729</f>
        <v>0</v>
      </c>
    </row>
    <row r="730" spans="2:8" hidden="1" outlineLevel="2" x14ac:dyDescent="0.25">
      <c r="B730" s="1" t="s">
        <v>378</v>
      </c>
      <c r="C730" s="191">
        <v>11266.24</v>
      </c>
      <c r="E730" s="211">
        <v>0</v>
      </c>
      <c r="F730" s="211">
        <v>0</v>
      </c>
      <c r="G730" s="212">
        <f>+E730*C730</f>
        <v>0</v>
      </c>
      <c r="H730" s="212">
        <f>+F730*C730</f>
        <v>0</v>
      </c>
    </row>
    <row r="731" spans="2:8" hidden="1" outlineLevel="2" x14ac:dyDescent="0.25">
      <c r="B731" s="1" t="s">
        <v>232</v>
      </c>
      <c r="C731" s="191">
        <v>34400.620000000003</v>
      </c>
      <c r="E731" s="211">
        <v>0</v>
      </c>
      <c r="F731" s="211">
        <v>0</v>
      </c>
      <c r="G731" s="212">
        <f>+E731*C731</f>
        <v>0</v>
      </c>
      <c r="H731" s="212">
        <f>+F731*C731</f>
        <v>0</v>
      </c>
    </row>
    <row r="732" spans="2:8" hidden="1" outlineLevel="2" x14ac:dyDescent="0.25">
      <c r="B732" s="1" t="s">
        <v>379</v>
      </c>
      <c r="C732" s="191">
        <v>15685.85</v>
      </c>
      <c r="E732" s="211">
        <v>0</v>
      </c>
      <c r="F732" s="211">
        <v>0</v>
      </c>
      <c r="G732" s="212">
        <f>+E732*C732</f>
        <v>0</v>
      </c>
      <c r="H732" s="212">
        <f>+F732*C732</f>
        <v>0</v>
      </c>
    </row>
    <row r="733" spans="2:8" hidden="1" outlineLevel="2" x14ac:dyDescent="0.25">
      <c r="B733" s="1" t="s">
        <v>234</v>
      </c>
      <c r="C733" s="191">
        <v>844.6</v>
      </c>
      <c r="E733" s="211">
        <v>0</v>
      </c>
      <c r="F733" s="211">
        <v>0</v>
      </c>
      <c r="G733" s="212">
        <f>+E733*C733</f>
        <v>0</v>
      </c>
      <c r="H733" s="212">
        <f>+F733*C733</f>
        <v>0</v>
      </c>
    </row>
    <row r="734" spans="2:8" hidden="1" outlineLevel="2" x14ac:dyDescent="0.25">
      <c r="B734" s="1" t="s">
        <v>380</v>
      </c>
      <c r="C734" s="191">
        <v>2869.85</v>
      </c>
      <c r="E734" s="211">
        <v>0</v>
      </c>
      <c r="F734" s="211">
        <v>0</v>
      </c>
      <c r="G734" s="212">
        <f>+E734*C734</f>
        <v>0</v>
      </c>
      <c r="H734" s="212">
        <f>+F734*C734</f>
        <v>0</v>
      </c>
    </row>
    <row r="735" spans="2:8" hidden="1" outlineLevel="2" x14ac:dyDescent="0.25">
      <c r="B735" s="1" t="s">
        <v>376</v>
      </c>
      <c r="C735" s="191">
        <v>3126.61</v>
      </c>
      <c r="E735" s="211">
        <v>0</v>
      </c>
      <c r="F735" s="211">
        <v>0</v>
      </c>
      <c r="G735" s="212">
        <f>+E735*C735</f>
        <v>0</v>
      </c>
      <c r="H735" s="212">
        <f>+F735*C735</f>
        <v>0</v>
      </c>
    </row>
    <row r="736" spans="2:8" hidden="1" outlineLevel="2" x14ac:dyDescent="0.25">
      <c r="B736" s="1" t="s">
        <v>375</v>
      </c>
      <c r="C736" s="191">
        <v>6617.83</v>
      </c>
      <c r="E736" s="211">
        <v>0</v>
      </c>
      <c r="F736" s="211">
        <v>0</v>
      </c>
      <c r="G736" s="212">
        <f>+E736*C736</f>
        <v>0</v>
      </c>
      <c r="H736" s="212">
        <f>+F736*C736</f>
        <v>0</v>
      </c>
    </row>
    <row r="737" spans="2:8" hidden="1" outlineLevel="2" x14ac:dyDescent="0.25">
      <c r="B737" s="1" t="s">
        <v>236</v>
      </c>
      <c r="C737" s="191">
        <v>2474.7399999999998</v>
      </c>
      <c r="E737" s="211">
        <v>0</v>
      </c>
      <c r="F737" s="211">
        <v>0</v>
      </c>
      <c r="G737" s="212">
        <f>+E737*C737</f>
        <v>0</v>
      </c>
      <c r="H737" s="212">
        <f>+F737*C737</f>
        <v>0</v>
      </c>
    </row>
    <row r="738" spans="2:8" hidden="1" outlineLevel="2" x14ac:dyDescent="0.25">
      <c r="B738" s="1" t="s">
        <v>237</v>
      </c>
      <c r="C738" s="191">
        <v>2781.14</v>
      </c>
      <c r="E738" s="211">
        <v>0</v>
      </c>
      <c r="F738" s="211">
        <v>0</v>
      </c>
      <c r="G738" s="212">
        <f>+E738*C738</f>
        <v>0</v>
      </c>
      <c r="H738" s="212">
        <f>+F738*C738</f>
        <v>0</v>
      </c>
    </row>
    <row r="739" spans="2:8" hidden="1" outlineLevel="2" x14ac:dyDescent="0.25">
      <c r="B739" s="1" t="s">
        <v>63</v>
      </c>
      <c r="C739" s="191">
        <v>3161.04</v>
      </c>
      <c r="E739" s="211">
        <v>0</v>
      </c>
      <c r="F739" s="211">
        <v>0</v>
      </c>
      <c r="G739" s="212">
        <f>+E739*C739</f>
        <v>0</v>
      </c>
      <c r="H739" s="212">
        <f>+F739*C739</f>
        <v>0</v>
      </c>
    </row>
    <row r="740" spans="2:8" hidden="1" outlineLevel="2" x14ac:dyDescent="0.25">
      <c r="B740" s="1" t="s">
        <v>375</v>
      </c>
      <c r="C740" s="191">
        <v>3161.04</v>
      </c>
      <c r="E740" s="211">
        <v>0</v>
      </c>
      <c r="F740" s="211">
        <v>0</v>
      </c>
      <c r="G740" s="212">
        <f>+E740*C740</f>
        <v>0</v>
      </c>
      <c r="H740" s="212">
        <f>+F740*C740</f>
        <v>0</v>
      </c>
    </row>
    <row r="741" spans="2:8" hidden="1" outlineLevel="2" x14ac:dyDescent="0.25">
      <c r="B741" s="1" t="s">
        <v>376</v>
      </c>
      <c r="C741" s="191">
        <v>0</v>
      </c>
      <c r="E741" s="211">
        <v>0</v>
      </c>
      <c r="F741" s="211">
        <v>0</v>
      </c>
      <c r="G741" s="212">
        <f>+E741*C741</f>
        <v>0</v>
      </c>
      <c r="H741" s="212">
        <f>+F741*C741</f>
        <v>0</v>
      </c>
    </row>
    <row r="742" spans="2:8" hidden="1" outlineLevel="1" collapsed="1" x14ac:dyDescent="0.25">
      <c r="B742" s="207" t="s">
        <v>238</v>
      </c>
      <c r="C742" s="208">
        <v>883.4</v>
      </c>
      <c r="E742" s="209"/>
      <c r="F742" s="209"/>
      <c r="G742" s="210"/>
      <c r="H742" s="210"/>
    </row>
    <row r="743" spans="2:8" hidden="1" outlineLevel="2" x14ac:dyDescent="0.25">
      <c r="B743" s="1" t="s">
        <v>239</v>
      </c>
      <c r="C743" s="191">
        <v>883.4</v>
      </c>
      <c r="E743" s="211">
        <v>0</v>
      </c>
      <c r="F743" s="211">
        <v>0</v>
      </c>
      <c r="G743" s="212">
        <f>+E743*C743</f>
        <v>0</v>
      </c>
      <c r="H743" s="212">
        <f>+F743*C743</f>
        <v>0</v>
      </c>
    </row>
    <row r="744" spans="2:8" hidden="1" outlineLevel="1" collapsed="1" x14ac:dyDescent="0.25">
      <c r="B744" s="207" t="s">
        <v>240</v>
      </c>
      <c r="C744" s="208">
        <v>7349.8</v>
      </c>
      <c r="E744" s="209"/>
      <c r="F744" s="209"/>
      <c r="G744" s="210"/>
      <c r="H744" s="210"/>
    </row>
    <row r="745" spans="2:8" hidden="1" outlineLevel="2" x14ac:dyDescent="0.25">
      <c r="B745" s="1" t="s">
        <v>241</v>
      </c>
      <c r="C745" s="191">
        <v>5509.8</v>
      </c>
      <c r="E745" s="211">
        <v>0</v>
      </c>
      <c r="F745" s="211">
        <v>0</v>
      </c>
      <c r="G745" s="212">
        <f>+E745*C745</f>
        <v>0</v>
      </c>
      <c r="H745" s="212">
        <f>+F745*C745</f>
        <v>0</v>
      </c>
    </row>
    <row r="746" spans="2:8" hidden="1" outlineLevel="2" x14ac:dyDescent="0.25">
      <c r="B746" s="1" t="s">
        <v>242</v>
      </c>
      <c r="C746" s="191">
        <v>1840</v>
      </c>
      <c r="E746" s="211">
        <v>0</v>
      </c>
      <c r="F746" s="211">
        <v>0</v>
      </c>
      <c r="G746" s="212">
        <f>+E746*C746</f>
        <v>0</v>
      </c>
      <c r="H746" s="212">
        <f>+F746*C746</f>
        <v>0</v>
      </c>
    </row>
    <row r="747" spans="2:8" hidden="1" outlineLevel="1" collapsed="1" x14ac:dyDescent="0.25">
      <c r="B747" s="207" t="s">
        <v>243</v>
      </c>
      <c r="C747" s="208">
        <v>154174.9</v>
      </c>
      <c r="E747" s="209"/>
      <c r="F747" s="209"/>
      <c r="G747" s="210"/>
      <c r="H747" s="210"/>
    </row>
    <row r="748" spans="2:8" hidden="1" outlineLevel="2" x14ac:dyDescent="0.25">
      <c r="B748" s="1" t="s">
        <v>381</v>
      </c>
      <c r="C748" s="191">
        <v>21475.95</v>
      </c>
      <c r="E748" s="211">
        <v>0</v>
      </c>
      <c r="F748" s="211">
        <v>0</v>
      </c>
      <c r="G748" s="212">
        <f>+E748*C748</f>
        <v>0</v>
      </c>
      <c r="H748" s="212">
        <f>+F748*C748</f>
        <v>0</v>
      </c>
    </row>
    <row r="749" spans="2:8" hidden="1" outlineLevel="2" x14ac:dyDescent="0.25">
      <c r="B749" s="1" t="s">
        <v>382</v>
      </c>
      <c r="C749" s="191">
        <v>13840.06</v>
      </c>
      <c r="E749" s="211">
        <v>0</v>
      </c>
      <c r="F749" s="211">
        <v>0</v>
      </c>
      <c r="G749" s="212">
        <f>+E749*C749</f>
        <v>0</v>
      </c>
      <c r="H749" s="212">
        <f>+F749*C749</f>
        <v>0</v>
      </c>
    </row>
    <row r="750" spans="2:8" hidden="1" outlineLevel="2" x14ac:dyDescent="0.25">
      <c r="B750" s="1" t="s">
        <v>383</v>
      </c>
      <c r="C750" s="191">
        <v>1145.3800000000001</v>
      </c>
      <c r="E750" s="211">
        <v>0</v>
      </c>
      <c r="F750" s="211">
        <v>0</v>
      </c>
      <c r="G750" s="212">
        <f>+E750*C750</f>
        <v>0</v>
      </c>
      <c r="H750" s="212">
        <f>+F750*C750</f>
        <v>0</v>
      </c>
    </row>
    <row r="751" spans="2:8" hidden="1" outlineLevel="2" x14ac:dyDescent="0.25">
      <c r="B751" s="1" t="s">
        <v>384</v>
      </c>
      <c r="C751" s="191">
        <v>3817.95</v>
      </c>
      <c r="E751" s="211">
        <v>0</v>
      </c>
      <c r="F751" s="211">
        <v>0</v>
      </c>
      <c r="G751" s="212">
        <f>+E751*C751</f>
        <v>0</v>
      </c>
      <c r="H751" s="212">
        <f>+F751*C751</f>
        <v>0</v>
      </c>
    </row>
    <row r="752" spans="2:8" hidden="1" outlineLevel="2" x14ac:dyDescent="0.25">
      <c r="B752" s="1" t="s">
        <v>385</v>
      </c>
      <c r="C752" s="191">
        <v>16703.52</v>
      </c>
      <c r="E752" s="211">
        <v>0</v>
      </c>
      <c r="F752" s="211">
        <v>0</v>
      </c>
      <c r="G752" s="212">
        <f>+E752*C752</f>
        <v>0</v>
      </c>
      <c r="H752" s="212">
        <f>+F752*C752</f>
        <v>0</v>
      </c>
    </row>
    <row r="753" spans="2:8" hidden="1" outlineLevel="2" x14ac:dyDescent="0.25">
      <c r="B753" s="1" t="s">
        <v>386</v>
      </c>
      <c r="C753" s="191">
        <v>12885.57</v>
      </c>
      <c r="E753" s="211">
        <v>0</v>
      </c>
      <c r="F753" s="211">
        <v>0</v>
      </c>
      <c r="G753" s="212">
        <f>+E753*C753</f>
        <v>0</v>
      </c>
      <c r="H753" s="212">
        <f>+F753*C753</f>
        <v>0</v>
      </c>
    </row>
    <row r="754" spans="2:8" hidden="1" outlineLevel="2" x14ac:dyDescent="0.25">
      <c r="B754" s="1" t="s">
        <v>387</v>
      </c>
      <c r="C754" s="191">
        <v>32070.75</v>
      </c>
      <c r="E754" s="211">
        <v>0</v>
      </c>
      <c r="F754" s="211">
        <v>0</v>
      </c>
      <c r="G754" s="212">
        <f>+E754*C754</f>
        <v>0</v>
      </c>
      <c r="H754" s="212">
        <f>+F754*C754</f>
        <v>0</v>
      </c>
    </row>
    <row r="755" spans="2:8" hidden="1" outlineLevel="2" x14ac:dyDescent="0.25">
      <c r="B755" s="1" t="s">
        <v>388</v>
      </c>
      <c r="C755" s="191">
        <v>7254.1</v>
      </c>
      <c r="E755" s="211">
        <v>0</v>
      </c>
      <c r="F755" s="211">
        <v>0</v>
      </c>
      <c r="G755" s="212">
        <f>+E755*C755</f>
        <v>0</v>
      </c>
      <c r="H755" s="212">
        <f>+F755*C755</f>
        <v>0</v>
      </c>
    </row>
    <row r="756" spans="2:8" hidden="1" outlineLevel="2" x14ac:dyDescent="0.25">
      <c r="B756" s="1" t="s">
        <v>389</v>
      </c>
      <c r="C756" s="191">
        <v>38656.71</v>
      </c>
      <c r="E756" s="211">
        <v>0</v>
      </c>
      <c r="F756" s="211">
        <v>0</v>
      </c>
      <c r="G756" s="212">
        <f>+E756*C756</f>
        <v>0</v>
      </c>
      <c r="H756" s="212">
        <f>+F756*C756</f>
        <v>0</v>
      </c>
    </row>
    <row r="757" spans="2:8" hidden="1" outlineLevel="2" x14ac:dyDescent="0.25">
      <c r="B757" s="1" t="s">
        <v>390</v>
      </c>
      <c r="C757" s="191">
        <v>6324.91</v>
      </c>
      <c r="E757" s="211">
        <v>0</v>
      </c>
      <c r="F757" s="211">
        <v>0</v>
      </c>
      <c r="G757" s="212">
        <f>+E757*C757</f>
        <v>0</v>
      </c>
      <c r="H757" s="212">
        <f>+F757*C757</f>
        <v>0</v>
      </c>
    </row>
    <row r="758" spans="2:8" hidden="1" outlineLevel="1" collapsed="1" x14ac:dyDescent="0.25">
      <c r="B758" s="207" t="s">
        <v>250</v>
      </c>
      <c r="C758" s="208">
        <v>49448.68</v>
      </c>
      <c r="E758" s="209"/>
      <c r="F758" s="209"/>
      <c r="G758" s="210"/>
      <c r="H758" s="210"/>
    </row>
    <row r="759" spans="2:8" hidden="1" outlineLevel="2" x14ac:dyDescent="0.25">
      <c r="B759" s="1" t="s">
        <v>251</v>
      </c>
      <c r="C759" s="191">
        <v>15449.35</v>
      </c>
      <c r="E759" s="211">
        <v>0</v>
      </c>
      <c r="F759" s="211">
        <v>0</v>
      </c>
      <c r="G759" s="212">
        <f>+E759*C759</f>
        <v>0</v>
      </c>
      <c r="H759" s="212">
        <f>+F759*C759</f>
        <v>0</v>
      </c>
    </row>
    <row r="760" spans="2:8" hidden="1" outlineLevel="2" x14ac:dyDescent="0.25">
      <c r="B760" s="1" t="s">
        <v>391</v>
      </c>
      <c r="C760" s="191">
        <v>3869.74</v>
      </c>
      <c r="E760" s="211">
        <v>0</v>
      </c>
      <c r="F760" s="211">
        <v>0</v>
      </c>
      <c r="G760" s="212">
        <f>+E760*C760</f>
        <v>0</v>
      </c>
      <c r="H760" s="212">
        <f>+F760*C760</f>
        <v>0</v>
      </c>
    </row>
    <row r="761" spans="2:8" hidden="1" outlineLevel="2" x14ac:dyDescent="0.25">
      <c r="B761" s="1" t="s">
        <v>253</v>
      </c>
      <c r="C761" s="191">
        <v>14719.8</v>
      </c>
      <c r="E761" s="211">
        <v>0</v>
      </c>
      <c r="F761" s="211">
        <v>0</v>
      </c>
      <c r="G761" s="212">
        <f>+E761*C761</f>
        <v>0</v>
      </c>
      <c r="H761" s="212">
        <f>+F761*C761</f>
        <v>0</v>
      </c>
    </row>
    <row r="762" spans="2:8" hidden="1" outlineLevel="2" x14ac:dyDescent="0.25">
      <c r="B762" s="1" t="s">
        <v>252</v>
      </c>
      <c r="C762" s="191">
        <v>7359.9</v>
      </c>
      <c r="E762" s="211">
        <v>0</v>
      </c>
      <c r="F762" s="211">
        <v>0</v>
      </c>
      <c r="G762" s="212">
        <f>+E762*C762</f>
        <v>0</v>
      </c>
      <c r="H762" s="212">
        <f>+F762*C762</f>
        <v>0</v>
      </c>
    </row>
    <row r="763" spans="2:8" hidden="1" outlineLevel="2" x14ac:dyDescent="0.25">
      <c r="B763" s="1" t="s">
        <v>392</v>
      </c>
      <c r="C763" s="191">
        <v>8049.89</v>
      </c>
      <c r="E763" s="211">
        <v>0</v>
      </c>
      <c r="F763" s="211">
        <v>0</v>
      </c>
      <c r="G763" s="212">
        <f>+E763*C763</f>
        <v>0</v>
      </c>
      <c r="H763" s="212">
        <f>+F763*C763</f>
        <v>0</v>
      </c>
    </row>
    <row r="764" spans="2:8" hidden="1" outlineLevel="1" collapsed="1" x14ac:dyDescent="0.25">
      <c r="B764" s="207" t="s">
        <v>393</v>
      </c>
      <c r="C764" s="208">
        <v>108723.59</v>
      </c>
      <c r="E764" s="209"/>
      <c r="F764" s="209"/>
      <c r="G764" s="210"/>
      <c r="H764" s="210"/>
    </row>
    <row r="765" spans="2:8" hidden="1" outlineLevel="2" x14ac:dyDescent="0.25">
      <c r="B765" s="1" t="s">
        <v>394</v>
      </c>
      <c r="C765" s="191">
        <v>30552.76</v>
      </c>
      <c r="E765" s="211">
        <v>0</v>
      </c>
      <c r="F765" s="211">
        <v>0</v>
      </c>
      <c r="G765" s="212">
        <f>+E765*C765</f>
        <v>0</v>
      </c>
      <c r="H765" s="212">
        <f>+F765*C765</f>
        <v>0</v>
      </c>
    </row>
    <row r="766" spans="2:8" hidden="1" outlineLevel="2" x14ac:dyDescent="0.25">
      <c r="B766" s="1" t="s">
        <v>395</v>
      </c>
      <c r="C766" s="191">
        <v>38702.99</v>
      </c>
      <c r="E766" s="211">
        <v>0</v>
      </c>
      <c r="F766" s="211">
        <v>0</v>
      </c>
      <c r="G766" s="212">
        <f>+E766*C766</f>
        <v>0</v>
      </c>
      <c r="H766" s="212">
        <f>+F766*C766</f>
        <v>0</v>
      </c>
    </row>
    <row r="767" spans="2:8" hidden="1" outlineLevel="2" x14ac:dyDescent="0.25">
      <c r="B767" s="1" t="s">
        <v>396</v>
      </c>
      <c r="C767" s="191">
        <v>18629.740000000002</v>
      </c>
      <c r="E767" s="211">
        <v>0</v>
      </c>
      <c r="F767" s="211">
        <v>0</v>
      </c>
      <c r="G767" s="212">
        <f>+E767*C767</f>
        <v>0</v>
      </c>
      <c r="H767" s="212">
        <f>+F767*C767</f>
        <v>0</v>
      </c>
    </row>
    <row r="768" spans="2:8" hidden="1" outlineLevel="2" x14ac:dyDescent="0.25">
      <c r="B768" s="1" t="s">
        <v>397</v>
      </c>
      <c r="C768" s="191">
        <v>9290.0300000000007</v>
      </c>
      <c r="E768" s="211">
        <v>0</v>
      </c>
      <c r="F768" s="211">
        <v>0</v>
      </c>
      <c r="G768" s="212">
        <f>+E768*C768</f>
        <v>0</v>
      </c>
      <c r="H768" s="212">
        <f>+F768*C768</f>
        <v>0</v>
      </c>
    </row>
    <row r="769" spans="2:8" hidden="1" outlineLevel="2" x14ac:dyDescent="0.25">
      <c r="B769" s="1" t="s">
        <v>398</v>
      </c>
      <c r="C769" s="191">
        <v>6899.9</v>
      </c>
      <c r="E769" s="211">
        <v>0</v>
      </c>
      <c r="F769" s="211">
        <v>0</v>
      </c>
      <c r="G769" s="212">
        <f>+E769*C769</f>
        <v>0</v>
      </c>
      <c r="H769" s="212">
        <f>+F769*C769</f>
        <v>0</v>
      </c>
    </row>
    <row r="770" spans="2:8" hidden="1" outlineLevel="2" x14ac:dyDescent="0.25">
      <c r="B770" s="1" t="s">
        <v>399</v>
      </c>
      <c r="C770" s="191">
        <v>748.28</v>
      </c>
      <c r="E770" s="211">
        <v>0</v>
      </c>
      <c r="F770" s="211">
        <v>0</v>
      </c>
      <c r="G770" s="212">
        <f>+E770*C770</f>
        <v>0</v>
      </c>
      <c r="H770" s="212">
        <f>+F770*C770</f>
        <v>0</v>
      </c>
    </row>
    <row r="771" spans="2:8" hidden="1" outlineLevel="2" x14ac:dyDescent="0.25">
      <c r="B771" s="1" t="s">
        <v>400</v>
      </c>
      <c r="C771" s="191">
        <v>1519.88</v>
      </c>
      <c r="E771" s="211">
        <v>0</v>
      </c>
      <c r="F771" s="211">
        <v>0</v>
      </c>
      <c r="G771" s="212">
        <f>+E771*C771</f>
        <v>0</v>
      </c>
      <c r="H771" s="212">
        <f>+F771*C771</f>
        <v>0</v>
      </c>
    </row>
    <row r="772" spans="2:8" hidden="1" outlineLevel="2" x14ac:dyDescent="0.25">
      <c r="B772" s="1" t="s">
        <v>401</v>
      </c>
      <c r="C772" s="191">
        <v>2380.0100000000002</v>
      </c>
      <c r="E772" s="211">
        <v>0</v>
      </c>
      <c r="F772" s="211">
        <v>0</v>
      </c>
      <c r="G772" s="212">
        <f>+E772*C772</f>
        <v>0</v>
      </c>
      <c r="H772" s="212">
        <f>+F772*C772</f>
        <v>0</v>
      </c>
    </row>
    <row r="773" spans="2:8" hidden="1" outlineLevel="1" collapsed="1" x14ac:dyDescent="0.25">
      <c r="B773" s="207" t="s">
        <v>255</v>
      </c>
      <c r="C773" s="208">
        <v>104124.45</v>
      </c>
      <c r="E773" s="209"/>
      <c r="F773" s="209"/>
      <c r="G773" s="210"/>
      <c r="H773" s="210"/>
    </row>
    <row r="774" spans="2:8" hidden="1" outlineLevel="2" x14ac:dyDescent="0.25">
      <c r="B774" s="1" t="s">
        <v>256</v>
      </c>
      <c r="C774" s="191">
        <v>12127.73</v>
      </c>
      <c r="E774" s="211">
        <v>0</v>
      </c>
      <c r="F774" s="211">
        <v>0</v>
      </c>
      <c r="G774" s="212">
        <f>+E774*C774</f>
        <v>0</v>
      </c>
      <c r="H774" s="212">
        <f>+F774*C774</f>
        <v>0</v>
      </c>
    </row>
    <row r="775" spans="2:8" hidden="1" outlineLevel="2" x14ac:dyDescent="0.25">
      <c r="B775" s="1" t="s">
        <v>258</v>
      </c>
      <c r="C775" s="191">
        <v>3363.66</v>
      </c>
      <c r="E775" s="211">
        <v>0</v>
      </c>
      <c r="F775" s="211">
        <v>0</v>
      </c>
      <c r="G775" s="212">
        <f>+E775*C775</f>
        <v>0</v>
      </c>
      <c r="H775" s="212">
        <f>+F775*C775</f>
        <v>0</v>
      </c>
    </row>
    <row r="776" spans="2:8" hidden="1" outlineLevel="2" x14ac:dyDescent="0.25">
      <c r="B776" s="1" t="s">
        <v>259</v>
      </c>
      <c r="C776" s="191">
        <v>1950.38</v>
      </c>
      <c r="E776" s="211">
        <v>0</v>
      </c>
      <c r="F776" s="211">
        <v>0</v>
      </c>
      <c r="G776" s="212">
        <f>+E776*C776</f>
        <v>0</v>
      </c>
      <c r="H776" s="212">
        <f>+F776*C776</f>
        <v>0</v>
      </c>
    </row>
    <row r="777" spans="2:8" hidden="1" outlineLevel="2" x14ac:dyDescent="0.25">
      <c r="B777" s="1" t="s">
        <v>260</v>
      </c>
      <c r="C777" s="191">
        <v>6835.52</v>
      </c>
      <c r="E777" s="211">
        <v>0</v>
      </c>
      <c r="F777" s="211">
        <v>0</v>
      </c>
      <c r="G777" s="212">
        <f>+E777*C777</f>
        <v>0</v>
      </c>
      <c r="H777" s="212">
        <f>+F777*C777</f>
        <v>0</v>
      </c>
    </row>
    <row r="778" spans="2:8" hidden="1" outlineLevel="2" x14ac:dyDescent="0.25">
      <c r="B778" s="1" t="s">
        <v>262</v>
      </c>
      <c r="C778" s="191">
        <v>4973.84</v>
      </c>
      <c r="E778" s="211">
        <v>0</v>
      </c>
      <c r="F778" s="211">
        <v>0</v>
      </c>
      <c r="G778" s="212">
        <f>+E778*C778</f>
        <v>0</v>
      </c>
      <c r="H778" s="212">
        <f>+F778*C778</f>
        <v>0</v>
      </c>
    </row>
    <row r="779" spans="2:8" hidden="1" outlineLevel="2" x14ac:dyDescent="0.25">
      <c r="B779" s="1" t="s">
        <v>263</v>
      </c>
      <c r="C779" s="191">
        <v>7460.76</v>
      </c>
      <c r="E779" s="211">
        <v>0</v>
      </c>
      <c r="F779" s="211">
        <v>0</v>
      </c>
      <c r="G779" s="212">
        <f>+E779*C779</f>
        <v>0</v>
      </c>
      <c r="H779" s="212">
        <f>+F779*C779</f>
        <v>0</v>
      </c>
    </row>
    <row r="780" spans="2:8" hidden="1" outlineLevel="2" x14ac:dyDescent="0.25">
      <c r="B780" s="1" t="s">
        <v>264</v>
      </c>
      <c r="C780" s="191">
        <v>27397.71</v>
      </c>
      <c r="E780" s="211">
        <v>0</v>
      </c>
      <c r="F780" s="211">
        <v>0</v>
      </c>
      <c r="G780" s="212">
        <f>+E780*C780</f>
        <v>0</v>
      </c>
      <c r="H780" s="212">
        <f>+F780*C780</f>
        <v>0</v>
      </c>
    </row>
    <row r="781" spans="2:8" hidden="1" outlineLevel="2" x14ac:dyDescent="0.25">
      <c r="B781" s="1" t="s">
        <v>402</v>
      </c>
      <c r="C781" s="191">
        <v>3461.84</v>
      </c>
      <c r="E781" s="211">
        <v>0</v>
      </c>
      <c r="F781" s="211">
        <v>0</v>
      </c>
      <c r="G781" s="212">
        <f>+E781*C781</f>
        <v>0</v>
      </c>
      <c r="H781" s="212">
        <f>+F781*C781</f>
        <v>0</v>
      </c>
    </row>
    <row r="782" spans="2:8" hidden="1" outlineLevel="2" x14ac:dyDescent="0.25">
      <c r="B782" s="1" t="s">
        <v>266</v>
      </c>
      <c r="C782" s="191">
        <v>3911.4</v>
      </c>
      <c r="E782" s="211">
        <v>0</v>
      </c>
      <c r="F782" s="211">
        <v>0</v>
      </c>
      <c r="G782" s="212">
        <f>+E782*C782</f>
        <v>0</v>
      </c>
      <c r="H782" s="212">
        <f>+F782*C782</f>
        <v>0</v>
      </c>
    </row>
    <row r="783" spans="2:8" hidden="1" outlineLevel="2" x14ac:dyDescent="0.25">
      <c r="B783" s="1" t="s">
        <v>267</v>
      </c>
      <c r="C783" s="191">
        <v>20762.55</v>
      </c>
      <c r="E783" s="211">
        <v>0</v>
      </c>
      <c r="F783" s="211">
        <v>0</v>
      </c>
      <c r="G783" s="212">
        <f>+E783*C783</f>
        <v>0</v>
      </c>
      <c r="H783" s="212">
        <f>+F783*C783</f>
        <v>0</v>
      </c>
    </row>
    <row r="784" spans="2:8" hidden="1" outlineLevel="2" x14ac:dyDescent="0.25">
      <c r="B784" s="1" t="s">
        <v>268</v>
      </c>
      <c r="C784" s="191">
        <v>2863.8</v>
      </c>
      <c r="E784" s="211">
        <v>0</v>
      </c>
      <c r="F784" s="211">
        <v>0</v>
      </c>
      <c r="G784" s="212">
        <f>+E784*C784</f>
        <v>0</v>
      </c>
      <c r="H784" s="212">
        <f>+F784*C784</f>
        <v>0</v>
      </c>
    </row>
    <row r="785" spans="2:8" hidden="1" outlineLevel="2" x14ac:dyDescent="0.25">
      <c r="B785" s="1" t="s">
        <v>269</v>
      </c>
      <c r="C785" s="191">
        <v>3432.1</v>
      </c>
      <c r="E785" s="211">
        <v>0</v>
      </c>
      <c r="F785" s="211">
        <v>0</v>
      </c>
      <c r="G785" s="212">
        <f>+E785*C785</f>
        <v>0</v>
      </c>
      <c r="H785" s="212">
        <f>+F785*C785</f>
        <v>0</v>
      </c>
    </row>
    <row r="786" spans="2:8" hidden="1" outlineLevel="2" x14ac:dyDescent="0.25">
      <c r="B786" s="1" t="s">
        <v>270</v>
      </c>
      <c r="C786" s="191">
        <v>1908.96</v>
      </c>
      <c r="E786" s="211">
        <v>0</v>
      </c>
      <c r="F786" s="211">
        <v>0</v>
      </c>
      <c r="G786" s="212">
        <f>+E786*C786</f>
        <v>0</v>
      </c>
      <c r="H786" s="212">
        <f>+F786*C786</f>
        <v>0</v>
      </c>
    </row>
    <row r="787" spans="2:8" hidden="1" outlineLevel="2" x14ac:dyDescent="0.25">
      <c r="B787" s="1" t="s">
        <v>271</v>
      </c>
      <c r="C787" s="191">
        <v>3674.2</v>
      </c>
      <c r="E787" s="211">
        <v>0</v>
      </c>
      <c r="F787" s="211">
        <v>0</v>
      </c>
      <c r="G787" s="212">
        <f>+E787*C787</f>
        <v>0</v>
      </c>
      <c r="H787" s="212">
        <f>+F787*C787</f>
        <v>0</v>
      </c>
    </row>
    <row r="788" spans="2:8" hidden="1" outlineLevel="1" collapsed="1" x14ac:dyDescent="0.25">
      <c r="B788" s="207" t="s">
        <v>273</v>
      </c>
      <c r="C788" s="208">
        <v>60690.93</v>
      </c>
      <c r="E788" s="209"/>
      <c r="F788" s="209"/>
      <c r="G788" s="210"/>
      <c r="H788" s="210"/>
    </row>
    <row r="789" spans="2:8" hidden="1" outlineLevel="2" x14ac:dyDescent="0.25">
      <c r="B789" s="1" t="s">
        <v>403</v>
      </c>
      <c r="C789" s="191">
        <v>5970.02</v>
      </c>
      <c r="E789" s="211">
        <v>0</v>
      </c>
      <c r="F789" s="211">
        <v>0</v>
      </c>
      <c r="G789" s="212">
        <f>+E789*C789</f>
        <v>0</v>
      </c>
      <c r="H789" s="212">
        <f>+F789*C789</f>
        <v>0</v>
      </c>
    </row>
    <row r="790" spans="2:8" hidden="1" outlineLevel="2" x14ac:dyDescent="0.25">
      <c r="B790" s="1" t="s">
        <v>404</v>
      </c>
      <c r="C790" s="191">
        <v>3607.47</v>
      </c>
      <c r="E790" s="211">
        <v>0</v>
      </c>
      <c r="F790" s="211">
        <v>0</v>
      </c>
      <c r="G790" s="212">
        <f>+E790*C790</f>
        <v>0</v>
      </c>
      <c r="H790" s="212">
        <f>+F790*C790</f>
        <v>0</v>
      </c>
    </row>
    <row r="791" spans="2:8" hidden="1" outlineLevel="2" x14ac:dyDescent="0.25">
      <c r="B791" s="1" t="s">
        <v>405</v>
      </c>
      <c r="C791" s="191">
        <v>7359.88</v>
      </c>
      <c r="E791" s="211">
        <v>0</v>
      </c>
      <c r="F791" s="211">
        <v>0</v>
      </c>
      <c r="G791" s="212">
        <f>+E791*C791</f>
        <v>0</v>
      </c>
      <c r="H791" s="212">
        <f>+F791*C791</f>
        <v>0</v>
      </c>
    </row>
    <row r="792" spans="2:8" hidden="1" outlineLevel="2" x14ac:dyDescent="0.25">
      <c r="B792" s="1" t="s">
        <v>275</v>
      </c>
      <c r="C792" s="191">
        <v>1322.48</v>
      </c>
      <c r="E792" s="211">
        <v>0</v>
      </c>
      <c r="F792" s="211">
        <v>0</v>
      </c>
      <c r="G792" s="212">
        <f>+E792*C792</f>
        <v>0</v>
      </c>
      <c r="H792" s="212">
        <f>+F792*C792</f>
        <v>0</v>
      </c>
    </row>
    <row r="793" spans="2:8" hidden="1" outlineLevel="2" x14ac:dyDescent="0.25">
      <c r="B793" s="1" t="s">
        <v>276</v>
      </c>
      <c r="C793" s="191">
        <v>786.65</v>
      </c>
      <c r="E793" s="211">
        <v>0</v>
      </c>
      <c r="F793" s="211">
        <v>0</v>
      </c>
      <c r="G793" s="212">
        <f>+E793*C793</f>
        <v>0</v>
      </c>
      <c r="H793" s="212">
        <f>+F793*C793</f>
        <v>0</v>
      </c>
    </row>
    <row r="794" spans="2:8" hidden="1" outlineLevel="2" x14ac:dyDescent="0.25">
      <c r="B794" s="1" t="s">
        <v>277</v>
      </c>
      <c r="C794" s="191">
        <v>1545.82</v>
      </c>
      <c r="E794" s="211">
        <v>0</v>
      </c>
      <c r="F794" s="211">
        <v>0</v>
      </c>
      <c r="G794" s="212">
        <f>+E794*C794</f>
        <v>0</v>
      </c>
      <c r="H794" s="212">
        <f>+F794*C794</f>
        <v>0</v>
      </c>
    </row>
    <row r="795" spans="2:8" hidden="1" outlineLevel="2" x14ac:dyDescent="0.25">
      <c r="B795" s="1" t="s">
        <v>278</v>
      </c>
      <c r="C795" s="191">
        <v>431.48</v>
      </c>
      <c r="E795" s="211">
        <v>0</v>
      </c>
      <c r="F795" s="211">
        <v>0</v>
      </c>
      <c r="G795" s="212">
        <f>+E795*C795</f>
        <v>0</v>
      </c>
      <c r="H795" s="212">
        <f>+F795*C795</f>
        <v>0</v>
      </c>
    </row>
    <row r="796" spans="2:8" hidden="1" outlineLevel="2" x14ac:dyDescent="0.25">
      <c r="B796" s="1" t="s">
        <v>279</v>
      </c>
      <c r="C796" s="191">
        <v>4637.46</v>
      </c>
      <c r="E796" s="211">
        <v>0</v>
      </c>
      <c r="F796" s="211">
        <v>0</v>
      </c>
      <c r="G796" s="212">
        <f>+E796*C796</f>
        <v>0</v>
      </c>
      <c r="H796" s="212">
        <f>+F796*C796</f>
        <v>0</v>
      </c>
    </row>
    <row r="797" spans="2:8" hidden="1" outlineLevel="2" x14ac:dyDescent="0.25">
      <c r="B797" s="1" t="s">
        <v>280</v>
      </c>
      <c r="C797" s="191">
        <v>0</v>
      </c>
      <c r="E797" s="211">
        <v>0</v>
      </c>
      <c r="F797" s="211">
        <v>0</v>
      </c>
      <c r="G797" s="212">
        <f>+E797*C797</f>
        <v>0</v>
      </c>
      <c r="H797" s="212">
        <f>+F797*C797</f>
        <v>0</v>
      </c>
    </row>
    <row r="798" spans="2:8" hidden="1" outlineLevel="2" x14ac:dyDescent="0.25">
      <c r="B798" s="1" t="s">
        <v>281</v>
      </c>
      <c r="C798" s="191">
        <v>1865.46</v>
      </c>
      <c r="E798" s="211">
        <v>0</v>
      </c>
      <c r="F798" s="211">
        <v>0</v>
      </c>
      <c r="G798" s="212">
        <f>+E798*C798</f>
        <v>0</v>
      </c>
      <c r="H798" s="212">
        <f>+F798*C798</f>
        <v>0</v>
      </c>
    </row>
    <row r="799" spans="2:8" hidden="1" outlineLevel="2" x14ac:dyDescent="0.25">
      <c r="B799" s="1" t="s">
        <v>282</v>
      </c>
      <c r="C799" s="191">
        <v>711.4</v>
      </c>
      <c r="E799" s="211">
        <v>0</v>
      </c>
      <c r="F799" s="211">
        <v>0</v>
      </c>
      <c r="G799" s="212">
        <f>+E799*C799</f>
        <v>0</v>
      </c>
      <c r="H799" s="212">
        <f>+F799*C799</f>
        <v>0</v>
      </c>
    </row>
    <row r="800" spans="2:8" hidden="1" outlineLevel="2" x14ac:dyDescent="0.25">
      <c r="B800" s="1" t="s">
        <v>283</v>
      </c>
      <c r="C800" s="191">
        <v>564.32000000000005</v>
      </c>
      <c r="E800" s="211">
        <v>0</v>
      </c>
      <c r="F800" s="211">
        <v>0</v>
      </c>
      <c r="G800" s="212">
        <f>+E800*C800</f>
        <v>0</v>
      </c>
      <c r="H800" s="212">
        <f>+F800*C800</f>
        <v>0</v>
      </c>
    </row>
    <row r="801" spans="2:8" hidden="1" outlineLevel="2" x14ac:dyDescent="0.25">
      <c r="B801" s="1" t="s">
        <v>284</v>
      </c>
      <c r="C801" s="191">
        <v>1422.8</v>
      </c>
      <c r="E801" s="211">
        <v>0</v>
      </c>
      <c r="F801" s="211">
        <v>0</v>
      </c>
      <c r="G801" s="212">
        <f>+E801*C801</f>
        <v>0</v>
      </c>
      <c r="H801" s="212">
        <f>+F801*C801</f>
        <v>0</v>
      </c>
    </row>
    <row r="802" spans="2:8" hidden="1" outlineLevel="2" x14ac:dyDescent="0.25">
      <c r="B802" s="1" t="s">
        <v>285</v>
      </c>
      <c r="C802" s="191">
        <v>564.32000000000005</v>
      </c>
      <c r="E802" s="211">
        <v>0</v>
      </c>
      <c r="F802" s="211">
        <v>0</v>
      </c>
      <c r="G802" s="212">
        <f>+E802*C802</f>
        <v>0</v>
      </c>
      <c r="H802" s="212">
        <f>+F802*C802</f>
        <v>0</v>
      </c>
    </row>
    <row r="803" spans="2:8" hidden="1" outlineLevel="2" x14ac:dyDescent="0.25">
      <c r="B803" s="1" t="s">
        <v>286</v>
      </c>
      <c r="C803" s="191">
        <v>2845.6</v>
      </c>
      <c r="E803" s="211">
        <v>0</v>
      </c>
      <c r="F803" s="211">
        <v>0</v>
      </c>
      <c r="G803" s="212">
        <f>+E803*C803</f>
        <v>0</v>
      </c>
      <c r="H803" s="212">
        <f>+F803*C803</f>
        <v>0</v>
      </c>
    </row>
    <row r="804" spans="2:8" hidden="1" outlineLevel="2" x14ac:dyDescent="0.25">
      <c r="B804" s="1" t="s">
        <v>287</v>
      </c>
      <c r="C804" s="191">
        <v>1185</v>
      </c>
      <c r="E804" s="211">
        <v>0</v>
      </c>
      <c r="F804" s="211">
        <v>0</v>
      </c>
      <c r="G804" s="212">
        <f>+E804*C804</f>
        <v>0</v>
      </c>
      <c r="H804" s="212">
        <f>+F804*C804</f>
        <v>0</v>
      </c>
    </row>
    <row r="805" spans="2:8" hidden="1" outlineLevel="2" x14ac:dyDescent="0.25">
      <c r="B805" s="1" t="s">
        <v>288</v>
      </c>
      <c r="C805" s="191">
        <v>1765.02</v>
      </c>
      <c r="E805" s="211">
        <v>0</v>
      </c>
      <c r="F805" s="211">
        <v>0</v>
      </c>
      <c r="G805" s="212">
        <f>+E805*C805</f>
        <v>0</v>
      </c>
      <c r="H805" s="212">
        <f>+F805*C805</f>
        <v>0</v>
      </c>
    </row>
    <row r="806" spans="2:8" hidden="1" outlineLevel="2" x14ac:dyDescent="0.25">
      <c r="B806" s="1" t="s">
        <v>289</v>
      </c>
      <c r="C806" s="191">
        <v>2271.96</v>
      </c>
      <c r="E806" s="211">
        <v>0</v>
      </c>
      <c r="F806" s="211">
        <v>0</v>
      </c>
      <c r="G806" s="212">
        <f>+E806*C806</f>
        <v>0</v>
      </c>
      <c r="H806" s="212">
        <f>+F806*C806</f>
        <v>0</v>
      </c>
    </row>
    <row r="807" spans="2:8" hidden="1" outlineLevel="2" x14ac:dyDescent="0.25">
      <c r="B807" s="1" t="s">
        <v>290</v>
      </c>
      <c r="C807" s="191">
        <v>1176.68</v>
      </c>
      <c r="E807" s="211">
        <v>0</v>
      </c>
      <c r="F807" s="211">
        <v>0</v>
      </c>
      <c r="G807" s="212">
        <f>+E807*C807</f>
        <v>0</v>
      </c>
      <c r="H807" s="212">
        <f>+F807*C807</f>
        <v>0</v>
      </c>
    </row>
    <row r="808" spans="2:8" hidden="1" outlineLevel="2" x14ac:dyDescent="0.25">
      <c r="B808" s="1" t="s">
        <v>291</v>
      </c>
      <c r="C808" s="191">
        <v>592.5</v>
      </c>
      <c r="E808" s="211">
        <v>0</v>
      </c>
      <c r="F808" s="211">
        <v>0</v>
      </c>
      <c r="G808" s="212">
        <f>+E808*C808</f>
        <v>0</v>
      </c>
      <c r="H808" s="212">
        <f>+F808*C808</f>
        <v>0</v>
      </c>
    </row>
    <row r="809" spans="2:8" hidden="1" outlineLevel="2" x14ac:dyDescent="0.25">
      <c r="B809" s="1" t="s">
        <v>292</v>
      </c>
      <c r="C809" s="191">
        <v>4417.83</v>
      </c>
      <c r="E809" s="211">
        <v>0</v>
      </c>
      <c r="F809" s="211">
        <v>0</v>
      </c>
      <c r="G809" s="212">
        <f>+E809*C809</f>
        <v>0</v>
      </c>
      <c r="H809" s="212">
        <f>+F809*C809</f>
        <v>0</v>
      </c>
    </row>
    <row r="810" spans="2:8" hidden="1" outlineLevel="2" x14ac:dyDescent="0.25">
      <c r="B810" s="1" t="s">
        <v>293</v>
      </c>
      <c r="C810" s="191">
        <v>2656.08</v>
      </c>
      <c r="E810" s="211">
        <v>0</v>
      </c>
      <c r="F810" s="211">
        <v>0</v>
      </c>
      <c r="G810" s="212">
        <f>+E810*C810</f>
        <v>0</v>
      </c>
      <c r="H810" s="212">
        <f>+F810*C810</f>
        <v>0</v>
      </c>
    </row>
    <row r="811" spans="2:8" hidden="1" outlineLevel="2" x14ac:dyDescent="0.25">
      <c r="B811" s="1" t="s">
        <v>294</v>
      </c>
      <c r="C811" s="191">
        <v>5226.34</v>
      </c>
      <c r="E811" s="211">
        <v>0</v>
      </c>
      <c r="F811" s="211">
        <v>0</v>
      </c>
      <c r="G811" s="212">
        <f>+E811*C811</f>
        <v>0</v>
      </c>
      <c r="H811" s="212">
        <f>+F811*C811</f>
        <v>0</v>
      </c>
    </row>
    <row r="812" spans="2:8" hidden="1" outlineLevel="2" x14ac:dyDescent="0.25">
      <c r="B812" s="1" t="s">
        <v>406</v>
      </c>
      <c r="C812" s="191">
        <v>1306.58</v>
      </c>
      <c r="E812" s="211">
        <v>0</v>
      </c>
      <c r="F812" s="211">
        <v>0</v>
      </c>
      <c r="G812" s="212">
        <f>+E812*C812</f>
        <v>0</v>
      </c>
      <c r="H812" s="212">
        <f>+F812*C812</f>
        <v>0</v>
      </c>
    </row>
    <row r="813" spans="2:8" hidden="1" outlineLevel="2" x14ac:dyDescent="0.25">
      <c r="B813" s="1" t="s">
        <v>407</v>
      </c>
      <c r="C813" s="191">
        <v>287.5</v>
      </c>
      <c r="E813" s="211">
        <v>0</v>
      </c>
      <c r="F813" s="211">
        <v>0</v>
      </c>
      <c r="G813" s="212">
        <f>+E813*C813</f>
        <v>0</v>
      </c>
      <c r="H813" s="212">
        <f>+F813*C813</f>
        <v>0</v>
      </c>
    </row>
    <row r="814" spans="2:8" hidden="1" outlineLevel="2" x14ac:dyDescent="0.25">
      <c r="B814" s="1" t="s">
        <v>408</v>
      </c>
      <c r="C814" s="191">
        <v>287.5</v>
      </c>
      <c r="E814" s="211">
        <v>0</v>
      </c>
      <c r="F814" s="211">
        <v>0</v>
      </c>
      <c r="G814" s="212">
        <f>+E814*C814</f>
        <v>0</v>
      </c>
      <c r="H814" s="212">
        <f>+F814*C814</f>
        <v>0</v>
      </c>
    </row>
    <row r="815" spans="2:8" hidden="1" outlineLevel="2" x14ac:dyDescent="0.25">
      <c r="B815" s="1" t="s">
        <v>409</v>
      </c>
      <c r="C815" s="191">
        <v>2157.4</v>
      </c>
      <c r="E815" s="211">
        <v>0</v>
      </c>
      <c r="F815" s="211">
        <v>0</v>
      </c>
      <c r="G815" s="212">
        <f>+E815*C815</f>
        <v>0</v>
      </c>
      <c r="H815" s="212">
        <f>+F815*C815</f>
        <v>0</v>
      </c>
    </row>
    <row r="816" spans="2:8" hidden="1" outlineLevel="2" x14ac:dyDescent="0.25">
      <c r="B816" s="1" t="s">
        <v>410</v>
      </c>
      <c r="C816" s="191">
        <v>2318.73</v>
      </c>
      <c r="E816" s="211">
        <v>0</v>
      </c>
      <c r="F816" s="211">
        <v>0</v>
      </c>
      <c r="G816" s="212">
        <f>+E816*C816</f>
        <v>0</v>
      </c>
      <c r="H816" s="212">
        <f>+F816*C816</f>
        <v>0</v>
      </c>
    </row>
    <row r="817" spans="2:8" hidden="1" outlineLevel="2" x14ac:dyDescent="0.25">
      <c r="B817" s="1" t="s">
        <v>295</v>
      </c>
      <c r="C817" s="191">
        <v>663.84</v>
      </c>
      <c r="E817" s="211">
        <v>0</v>
      </c>
      <c r="F817" s="211">
        <v>0</v>
      </c>
      <c r="G817" s="212">
        <f>+E817*C817</f>
        <v>0</v>
      </c>
      <c r="H817" s="212">
        <f>+F817*C817</f>
        <v>0</v>
      </c>
    </row>
    <row r="818" spans="2:8" hidden="1" outlineLevel="2" x14ac:dyDescent="0.25">
      <c r="B818" s="1" t="s">
        <v>296</v>
      </c>
      <c r="C818" s="191">
        <v>742.81</v>
      </c>
      <c r="E818" s="211">
        <v>0</v>
      </c>
      <c r="F818" s="211">
        <v>0</v>
      </c>
      <c r="G818" s="212">
        <f>+E818*C818</f>
        <v>0</v>
      </c>
      <c r="H818" s="212">
        <f>+F818*C818</f>
        <v>0</v>
      </c>
    </row>
    <row r="819" spans="2:8" hidden="1" outlineLevel="1" collapsed="1" x14ac:dyDescent="0.25">
      <c r="B819" s="207" t="s">
        <v>297</v>
      </c>
      <c r="C819" s="208">
        <v>12289.42</v>
      </c>
      <c r="E819" s="209"/>
      <c r="F819" s="209"/>
      <c r="G819" s="210"/>
      <c r="H819" s="210"/>
    </row>
    <row r="820" spans="2:8" hidden="1" outlineLevel="2" x14ac:dyDescent="0.25">
      <c r="B820" s="1" t="s">
        <v>298</v>
      </c>
      <c r="C820" s="191">
        <v>11607.8</v>
      </c>
      <c r="E820" s="211">
        <v>0</v>
      </c>
      <c r="F820" s="211">
        <v>0</v>
      </c>
      <c r="G820" s="212">
        <f>+E820*C820</f>
        <v>0</v>
      </c>
      <c r="H820" s="212">
        <f>+F820*C820</f>
        <v>0</v>
      </c>
    </row>
    <row r="821" spans="2:8" hidden="1" outlineLevel="2" x14ac:dyDescent="0.25">
      <c r="B821" s="1" t="s">
        <v>107</v>
      </c>
      <c r="C821" s="191">
        <v>681.62</v>
      </c>
      <c r="E821" s="211">
        <v>0</v>
      </c>
      <c r="F821" s="211">
        <v>0</v>
      </c>
      <c r="G821" s="212">
        <f>+E821*C821</f>
        <v>0</v>
      </c>
      <c r="H821" s="212">
        <f>+F821*C821</f>
        <v>0</v>
      </c>
    </row>
    <row r="822" spans="2:8" hidden="1" outlineLevel="1" collapsed="1" x14ac:dyDescent="0.25">
      <c r="B822" s="207" t="s">
        <v>299</v>
      </c>
      <c r="C822" s="208">
        <v>47416.79</v>
      </c>
      <c r="E822" s="209"/>
      <c r="F822" s="209"/>
      <c r="G822" s="210"/>
      <c r="H822" s="210"/>
    </row>
    <row r="823" spans="2:8" hidden="1" outlineLevel="2" x14ac:dyDescent="0.25">
      <c r="B823" s="1" t="s">
        <v>411</v>
      </c>
      <c r="C823" s="191">
        <v>13692.87</v>
      </c>
      <c r="E823" s="211">
        <v>0</v>
      </c>
      <c r="F823" s="211">
        <v>0</v>
      </c>
      <c r="G823" s="212">
        <f>+E823*C823</f>
        <v>0</v>
      </c>
      <c r="H823" s="212">
        <f>+F823*C823</f>
        <v>0</v>
      </c>
    </row>
    <row r="824" spans="2:8" hidden="1" outlineLevel="2" x14ac:dyDescent="0.25">
      <c r="B824" s="1" t="s">
        <v>412</v>
      </c>
      <c r="C824" s="191">
        <v>1447.83</v>
      </c>
      <c r="E824" s="211">
        <v>0</v>
      </c>
      <c r="F824" s="211">
        <v>0</v>
      </c>
      <c r="G824" s="212">
        <f>+E824*C824</f>
        <v>0</v>
      </c>
      <c r="H824" s="212">
        <f>+F824*C824</f>
        <v>0</v>
      </c>
    </row>
    <row r="825" spans="2:8" hidden="1" outlineLevel="2" x14ac:dyDescent="0.25">
      <c r="B825" s="1" t="s">
        <v>413</v>
      </c>
      <c r="C825" s="191">
        <v>7359.9</v>
      </c>
      <c r="E825" s="211">
        <v>0</v>
      </c>
      <c r="F825" s="211">
        <v>0</v>
      </c>
      <c r="G825" s="212">
        <f>+E825*C825</f>
        <v>0</v>
      </c>
      <c r="H825" s="212">
        <f>+F825*C825</f>
        <v>0</v>
      </c>
    </row>
    <row r="826" spans="2:8" hidden="1" outlineLevel="2" x14ac:dyDescent="0.25">
      <c r="B826" s="1" t="s">
        <v>414</v>
      </c>
      <c r="C826" s="191">
        <v>5979.92</v>
      </c>
      <c r="E826" s="211">
        <v>0</v>
      </c>
      <c r="F826" s="211">
        <v>0</v>
      </c>
      <c r="G826" s="212">
        <f>+E826*C826</f>
        <v>0</v>
      </c>
      <c r="H826" s="212">
        <f>+F826*C826</f>
        <v>0</v>
      </c>
    </row>
    <row r="827" spans="2:8" hidden="1" outlineLevel="2" x14ac:dyDescent="0.25">
      <c r="B827" s="1" t="s">
        <v>415</v>
      </c>
      <c r="C827" s="191">
        <v>3255.54</v>
      </c>
      <c r="E827" s="211">
        <v>0</v>
      </c>
      <c r="F827" s="211">
        <v>0</v>
      </c>
      <c r="G827" s="212">
        <f>+E827*C827</f>
        <v>0</v>
      </c>
      <c r="H827" s="212">
        <f>+F827*C827</f>
        <v>0</v>
      </c>
    </row>
    <row r="828" spans="2:8" hidden="1" outlineLevel="2" x14ac:dyDescent="0.25">
      <c r="B828" s="1" t="s">
        <v>416</v>
      </c>
      <c r="C828" s="191">
        <v>4242.66</v>
      </c>
      <c r="E828" s="211">
        <v>0</v>
      </c>
      <c r="F828" s="211">
        <v>0</v>
      </c>
      <c r="G828" s="212">
        <f>+E828*C828</f>
        <v>0</v>
      </c>
      <c r="H828" s="212">
        <f>+F828*C828</f>
        <v>0</v>
      </c>
    </row>
    <row r="829" spans="2:8" hidden="1" outlineLevel="2" x14ac:dyDescent="0.25">
      <c r="B829" s="1" t="s">
        <v>417</v>
      </c>
      <c r="C829" s="191">
        <v>5242.8599999999997</v>
      </c>
      <c r="E829" s="211">
        <v>0</v>
      </c>
      <c r="F829" s="211">
        <v>0</v>
      </c>
      <c r="G829" s="212">
        <f>+E829*C829</f>
        <v>0</v>
      </c>
      <c r="H829" s="212">
        <f>+F829*C829</f>
        <v>0</v>
      </c>
    </row>
    <row r="830" spans="2:8" hidden="1" outlineLevel="2" x14ac:dyDescent="0.25">
      <c r="B830" s="1" t="s">
        <v>418</v>
      </c>
      <c r="C830" s="191">
        <v>4950.6899999999996</v>
      </c>
      <c r="E830" s="211">
        <v>0</v>
      </c>
      <c r="F830" s="211">
        <v>0</v>
      </c>
      <c r="G830" s="212">
        <f>+E830*C830</f>
        <v>0</v>
      </c>
      <c r="H830" s="212">
        <f>+F830*C830</f>
        <v>0</v>
      </c>
    </row>
    <row r="831" spans="2:8" hidden="1" outlineLevel="2" x14ac:dyDescent="0.25">
      <c r="B831" s="1" t="s">
        <v>419</v>
      </c>
      <c r="C831" s="191">
        <v>1244.52</v>
      </c>
      <c r="E831" s="211">
        <v>0</v>
      </c>
      <c r="F831" s="211">
        <v>0</v>
      </c>
      <c r="G831" s="212">
        <f>+E831*C831</f>
        <v>0</v>
      </c>
      <c r="H831" s="212">
        <f>+F831*C831</f>
        <v>0</v>
      </c>
    </row>
    <row r="832" spans="2:8" hidden="1" outlineLevel="1" collapsed="1" x14ac:dyDescent="0.25">
      <c r="B832" s="207" t="s">
        <v>308</v>
      </c>
      <c r="C832" s="208">
        <v>34791.15</v>
      </c>
      <c r="E832" s="209"/>
      <c r="F832" s="209"/>
      <c r="G832" s="210"/>
      <c r="H832" s="210"/>
    </row>
    <row r="833" spans="2:8" hidden="1" outlineLevel="2" x14ac:dyDescent="0.25">
      <c r="B833" s="1" t="s">
        <v>309</v>
      </c>
      <c r="C833" s="191">
        <v>1197.02</v>
      </c>
      <c r="E833" s="211">
        <v>0</v>
      </c>
      <c r="F833" s="211">
        <v>0</v>
      </c>
      <c r="G833" s="212">
        <f>+E833*C833</f>
        <v>0</v>
      </c>
      <c r="H833" s="212">
        <f>+F833*C833</f>
        <v>0</v>
      </c>
    </row>
    <row r="834" spans="2:8" hidden="1" outlineLevel="2" x14ac:dyDescent="0.25">
      <c r="B834" s="1" t="s">
        <v>310</v>
      </c>
      <c r="C834" s="191">
        <v>1437.48</v>
      </c>
      <c r="E834" s="211">
        <v>0</v>
      </c>
      <c r="F834" s="211">
        <v>0</v>
      </c>
      <c r="G834" s="212">
        <f>+E834*C834</f>
        <v>0</v>
      </c>
      <c r="H834" s="212">
        <f>+F834*C834</f>
        <v>0</v>
      </c>
    </row>
    <row r="835" spans="2:8" hidden="1" outlineLevel="2" x14ac:dyDescent="0.25">
      <c r="B835" s="1" t="s">
        <v>311</v>
      </c>
      <c r="C835" s="191">
        <v>431.24</v>
      </c>
      <c r="E835" s="211">
        <v>0</v>
      </c>
      <c r="F835" s="211">
        <v>0</v>
      </c>
      <c r="G835" s="212">
        <f>+E835*C835</f>
        <v>0</v>
      </c>
      <c r="H835" s="212">
        <f>+F835*C835</f>
        <v>0</v>
      </c>
    </row>
    <row r="836" spans="2:8" hidden="1" outlineLevel="2" x14ac:dyDescent="0.25">
      <c r="B836" s="1" t="s">
        <v>312</v>
      </c>
      <c r="C836" s="191">
        <v>7647.39</v>
      </c>
      <c r="E836" s="211">
        <v>0</v>
      </c>
      <c r="F836" s="211">
        <v>0</v>
      </c>
      <c r="G836" s="212">
        <f>+E836*C836</f>
        <v>0</v>
      </c>
      <c r="H836" s="212">
        <f>+F836*C836</f>
        <v>0</v>
      </c>
    </row>
    <row r="837" spans="2:8" hidden="1" outlineLevel="2" x14ac:dyDescent="0.25">
      <c r="B837" s="1" t="s">
        <v>313</v>
      </c>
      <c r="C837" s="191">
        <v>10349.86</v>
      </c>
      <c r="E837" s="211">
        <v>0</v>
      </c>
      <c r="F837" s="211">
        <v>0</v>
      </c>
      <c r="G837" s="212">
        <f>+E837*C837</f>
        <v>0</v>
      </c>
      <c r="H837" s="212">
        <f>+F837*C837</f>
        <v>0</v>
      </c>
    </row>
    <row r="838" spans="2:8" hidden="1" outlineLevel="2" x14ac:dyDescent="0.25">
      <c r="B838" s="1" t="s">
        <v>314</v>
      </c>
      <c r="C838" s="191">
        <v>13728.16</v>
      </c>
      <c r="E838" s="211">
        <v>0</v>
      </c>
      <c r="F838" s="211">
        <v>0</v>
      </c>
      <c r="G838" s="212">
        <f>+E838*C838</f>
        <v>0</v>
      </c>
      <c r="H838" s="212">
        <f>+F838*C838</f>
        <v>0</v>
      </c>
    </row>
    <row r="839" spans="2:8" hidden="1" outlineLevel="1" collapsed="1" x14ac:dyDescent="0.25">
      <c r="B839" s="207" t="s">
        <v>315</v>
      </c>
      <c r="C839" s="208">
        <v>45313.31</v>
      </c>
      <c r="E839" s="209"/>
      <c r="F839" s="209"/>
      <c r="G839" s="210"/>
      <c r="H839" s="210"/>
    </row>
    <row r="840" spans="2:8" hidden="1" outlineLevel="2" x14ac:dyDescent="0.25">
      <c r="B840" s="1" t="s">
        <v>420</v>
      </c>
      <c r="C840" s="191">
        <v>1472.5</v>
      </c>
      <c r="E840" s="211">
        <v>0</v>
      </c>
      <c r="F840" s="211">
        <v>0</v>
      </c>
      <c r="G840" s="212">
        <f>+E840*C840</f>
        <v>0</v>
      </c>
      <c r="H840" s="212">
        <f>+F840*C840</f>
        <v>0</v>
      </c>
    </row>
    <row r="841" spans="2:8" hidden="1" outlineLevel="2" x14ac:dyDescent="0.25">
      <c r="B841" s="1" t="s">
        <v>421</v>
      </c>
      <c r="C841" s="191">
        <v>3219.96</v>
      </c>
      <c r="E841" s="211">
        <v>0</v>
      </c>
      <c r="F841" s="211">
        <v>0</v>
      </c>
      <c r="G841" s="212">
        <f>+E841*C841</f>
        <v>0</v>
      </c>
      <c r="H841" s="212">
        <f>+F841*C841</f>
        <v>0</v>
      </c>
    </row>
    <row r="842" spans="2:8" hidden="1" outlineLevel="2" x14ac:dyDescent="0.25">
      <c r="B842" s="1" t="s">
        <v>422</v>
      </c>
      <c r="C842" s="191">
        <v>9168.7800000000007</v>
      </c>
      <c r="E842" s="211">
        <v>0</v>
      </c>
      <c r="F842" s="211">
        <v>0</v>
      </c>
      <c r="G842" s="212">
        <f>+E842*C842</f>
        <v>0</v>
      </c>
      <c r="H842" s="212">
        <f>+F842*C842</f>
        <v>0</v>
      </c>
    </row>
    <row r="843" spans="2:8" hidden="1" outlineLevel="2" x14ac:dyDescent="0.25">
      <c r="B843" s="1" t="s">
        <v>423</v>
      </c>
      <c r="C843" s="191">
        <v>3104.94</v>
      </c>
      <c r="E843" s="211">
        <v>0</v>
      </c>
      <c r="F843" s="211">
        <v>0</v>
      </c>
      <c r="G843" s="212">
        <f>+E843*C843</f>
        <v>0</v>
      </c>
      <c r="H843" s="212">
        <f>+F843*C843</f>
        <v>0</v>
      </c>
    </row>
    <row r="844" spans="2:8" hidden="1" outlineLevel="2" x14ac:dyDescent="0.25">
      <c r="B844" s="1" t="s">
        <v>424</v>
      </c>
      <c r="C844" s="191">
        <v>19319.759999999998</v>
      </c>
      <c r="E844" s="211">
        <v>0</v>
      </c>
      <c r="F844" s="211">
        <v>0</v>
      </c>
      <c r="G844" s="212">
        <f>+E844*C844</f>
        <v>0</v>
      </c>
      <c r="H844" s="212">
        <f>+F844*C844</f>
        <v>0</v>
      </c>
    </row>
    <row r="845" spans="2:8" hidden="1" outlineLevel="2" x14ac:dyDescent="0.25">
      <c r="B845" s="1" t="s">
        <v>425</v>
      </c>
      <c r="C845" s="191">
        <v>7129.92</v>
      </c>
      <c r="E845" s="211">
        <v>0</v>
      </c>
      <c r="F845" s="211">
        <v>0</v>
      </c>
      <c r="G845" s="212">
        <f>+E845*C845</f>
        <v>0</v>
      </c>
      <c r="H845" s="212">
        <f>+F845*C845</f>
        <v>0</v>
      </c>
    </row>
    <row r="846" spans="2:8" hidden="1" outlineLevel="2" x14ac:dyDescent="0.25">
      <c r="B846" s="1" t="s">
        <v>426</v>
      </c>
      <c r="C846" s="191">
        <v>0</v>
      </c>
      <c r="E846" s="211">
        <v>0</v>
      </c>
      <c r="F846" s="211">
        <v>0</v>
      </c>
      <c r="G846" s="212">
        <f>+E846*C846</f>
        <v>0</v>
      </c>
      <c r="H846" s="212">
        <f>+F846*C846</f>
        <v>0</v>
      </c>
    </row>
    <row r="847" spans="2:8" hidden="1" outlineLevel="2" x14ac:dyDescent="0.25">
      <c r="B847" s="1" t="s">
        <v>427</v>
      </c>
      <c r="C847" s="191">
        <v>1897.45</v>
      </c>
      <c r="E847" s="211">
        <v>0</v>
      </c>
      <c r="F847" s="211">
        <v>0</v>
      </c>
      <c r="G847" s="212">
        <f>+E847*C847</f>
        <v>0</v>
      </c>
      <c r="H847" s="212">
        <f>+F847*C847</f>
        <v>0</v>
      </c>
    </row>
    <row r="848" spans="2:8" hidden="1" outlineLevel="1" collapsed="1" x14ac:dyDescent="0.25">
      <c r="B848" s="207" t="s">
        <v>428</v>
      </c>
      <c r="C848" s="208">
        <v>861.34</v>
      </c>
      <c r="E848" s="209"/>
      <c r="F848" s="209"/>
      <c r="G848" s="210"/>
      <c r="H848" s="210"/>
    </row>
    <row r="849" spans="2:8" hidden="1" outlineLevel="2" x14ac:dyDescent="0.25">
      <c r="B849" s="1" t="s">
        <v>429</v>
      </c>
      <c r="C849" s="191">
        <v>861.34</v>
      </c>
      <c r="E849" s="211">
        <v>0</v>
      </c>
      <c r="F849" s="211">
        <v>0</v>
      </c>
      <c r="G849" s="212">
        <f>+E849*C849</f>
        <v>0</v>
      </c>
      <c r="H849" s="212">
        <f>+F849*C849</f>
        <v>0</v>
      </c>
    </row>
    <row r="850" spans="2:8" hidden="1" outlineLevel="1" collapsed="1" x14ac:dyDescent="0.25">
      <c r="B850" s="207" t="s">
        <v>323</v>
      </c>
      <c r="C850" s="208">
        <v>24252.36</v>
      </c>
      <c r="E850" s="209"/>
      <c r="F850" s="209"/>
      <c r="G850" s="210"/>
      <c r="H850" s="210"/>
    </row>
    <row r="851" spans="2:8" hidden="1" outlineLevel="2" x14ac:dyDescent="0.25">
      <c r="B851" s="1" t="s">
        <v>272</v>
      </c>
      <c r="C851" s="191">
        <v>9859.86</v>
      </c>
      <c r="E851" s="211">
        <v>0</v>
      </c>
      <c r="F851" s="211">
        <v>0</v>
      </c>
      <c r="G851" s="212">
        <f>+E851*C851</f>
        <v>0</v>
      </c>
      <c r="H851" s="212">
        <f>+F851*C851</f>
        <v>0</v>
      </c>
    </row>
    <row r="852" spans="2:8" hidden="1" outlineLevel="2" x14ac:dyDescent="0.25">
      <c r="B852" s="1" t="s">
        <v>324</v>
      </c>
      <c r="C852" s="191">
        <v>14392.5</v>
      </c>
      <c r="E852" s="211">
        <v>0</v>
      </c>
      <c r="F852" s="211">
        <v>0</v>
      </c>
      <c r="G852" s="212">
        <f>+E852*C852</f>
        <v>0</v>
      </c>
      <c r="H852" s="212">
        <f>+F852*C852</f>
        <v>0</v>
      </c>
    </row>
    <row r="853" spans="2:8" hidden="1" outlineLevel="1" collapsed="1" x14ac:dyDescent="0.25">
      <c r="B853" s="207" t="s">
        <v>319</v>
      </c>
      <c r="C853" s="208">
        <v>21640</v>
      </c>
      <c r="E853" s="209"/>
      <c r="F853" s="209"/>
      <c r="G853" s="210"/>
      <c r="H853" s="210"/>
    </row>
    <row r="854" spans="2:8" hidden="1" outlineLevel="1" x14ac:dyDescent="0.25">
      <c r="B854" s="1" t="s">
        <v>320</v>
      </c>
      <c r="C854" s="191">
        <v>14290.2</v>
      </c>
      <c r="E854" s="211">
        <v>0</v>
      </c>
      <c r="F854" s="211">
        <v>0</v>
      </c>
      <c r="G854" s="212">
        <f>+E854*C854</f>
        <v>0</v>
      </c>
      <c r="H854" s="212">
        <f>+F854*C854</f>
        <v>0</v>
      </c>
    </row>
    <row r="855" spans="2:8" hidden="1" outlineLevel="1" x14ac:dyDescent="0.25">
      <c r="B855" s="1" t="s">
        <v>321</v>
      </c>
      <c r="C855" s="191">
        <v>5509.8</v>
      </c>
      <c r="E855" s="211">
        <v>0</v>
      </c>
      <c r="F855" s="211">
        <v>0</v>
      </c>
      <c r="G855" s="212">
        <f>+E855*C855</f>
        <v>0</v>
      </c>
      <c r="H855" s="212">
        <f>+F855*C855</f>
        <v>0</v>
      </c>
    </row>
    <row r="856" spans="2:8" hidden="1" outlineLevel="1" x14ac:dyDescent="0.25">
      <c r="B856" s="1" t="s">
        <v>322</v>
      </c>
      <c r="C856" s="191">
        <v>1840</v>
      </c>
      <c r="E856" s="211">
        <v>0</v>
      </c>
      <c r="F856" s="211">
        <v>0</v>
      </c>
      <c r="G856" s="212">
        <f>+E856*C856</f>
        <v>0</v>
      </c>
      <c r="H856" s="212">
        <f>+F856*C856</f>
        <v>0</v>
      </c>
    </row>
    <row r="857" spans="2:8" collapsed="1" x14ac:dyDescent="0.25">
      <c r="B857" s="192" t="s">
        <v>431</v>
      </c>
      <c r="C857" s="193">
        <f>+C858+C860+C863+C889+C904+C906+C932+C946+C965+C974+C977+C980+C1007+C1016+C1024+C1041+C1043+C1046+C1057+C1063+C1072+C1087+C1118+C1121+C1131+C1138+C1147+C1149+C1152</f>
        <v>2435578.5999999996</v>
      </c>
      <c r="E857" s="206">
        <f>+G857/C857</f>
        <v>0</v>
      </c>
      <c r="F857" s="206">
        <f>+H857/C857</f>
        <v>0</v>
      </c>
      <c r="G857" s="205">
        <f>+G858+G860+G863</f>
        <v>0</v>
      </c>
      <c r="H857" s="205">
        <f>+H858+H860+H863</f>
        <v>0</v>
      </c>
    </row>
    <row r="858" spans="2:8" hidden="1" outlineLevel="1" x14ac:dyDescent="0.25">
      <c r="B858" s="207" t="s">
        <v>104</v>
      </c>
      <c r="C858" s="208">
        <v>9070.2000000000007</v>
      </c>
      <c r="E858" s="209"/>
      <c r="F858" s="209"/>
      <c r="G858" s="210"/>
      <c r="H858" s="210"/>
    </row>
    <row r="859" spans="2:8" hidden="1" outlineLevel="2" x14ac:dyDescent="0.25">
      <c r="B859" s="1" t="s">
        <v>105</v>
      </c>
      <c r="C859" s="191">
        <v>9070.2000000000007</v>
      </c>
      <c r="E859" s="211">
        <v>0</v>
      </c>
      <c r="F859" s="211">
        <v>0</v>
      </c>
      <c r="G859" s="212">
        <f>+E859*C859</f>
        <v>0</v>
      </c>
      <c r="H859" s="212">
        <f>+F859*C859</f>
        <v>0</v>
      </c>
    </row>
    <row r="860" spans="2:8" hidden="1" outlineLevel="1" collapsed="1" x14ac:dyDescent="0.25">
      <c r="B860" s="207" t="s">
        <v>106</v>
      </c>
      <c r="C860" s="208">
        <v>1855.37</v>
      </c>
      <c r="E860" s="209"/>
      <c r="F860" s="209"/>
      <c r="G860" s="210"/>
      <c r="H860" s="210"/>
    </row>
    <row r="861" spans="2:8" hidden="1" outlineLevel="2" x14ac:dyDescent="0.25">
      <c r="B861" s="1" t="s">
        <v>107</v>
      </c>
      <c r="C861" s="191">
        <v>1118.55</v>
      </c>
      <c r="E861" s="211">
        <v>0</v>
      </c>
      <c r="F861" s="211">
        <v>0</v>
      </c>
      <c r="G861" s="212">
        <f>+E861*C861</f>
        <v>0</v>
      </c>
      <c r="H861" s="212">
        <f>+F861*C861</f>
        <v>0</v>
      </c>
    </row>
    <row r="862" spans="2:8" hidden="1" outlineLevel="2" x14ac:dyDescent="0.25">
      <c r="B862" s="1" t="s">
        <v>108</v>
      </c>
      <c r="C862" s="191">
        <v>736.82</v>
      </c>
      <c r="E862" s="211">
        <v>0</v>
      </c>
      <c r="F862" s="211">
        <v>0</v>
      </c>
      <c r="G862" s="212">
        <f>+E862*C862</f>
        <v>0</v>
      </c>
      <c r="H862" s="212">
        <f>+F862*C862</f>
        <v>0</v>
      </c>
    </row>
    <row r="863" spans="2:8" hidden="1" outlineLevel="1" collapsed="1" x14ac:dyDescent="0.25">
      <c r="B863" s="207" t="s">
        <v>109</v>
      </c>
      <c r="C863" s="208">
        <v>183681.82</v>
      </c>
      <c r="E863" s="209"/>
      <c r="F863" s="209"/>
      <c r="G863" s="210"/>
      <c r="H863" s="210"/>
    </row>
    <row r="864" spans="2:8" hidden="1" outlineLevel="2" x14ac:dyDescent="0.25">
      <c r="B864" s="1" t="s">
        <v>110</v>
      </c>
      <c r="C864" s="191">
        <v>10207.56</v>
      </c>
      <c r="E864" s="211">
        <v>0</v>
      </c>
      <c r="F864" s="211">
        <v>0</v>
      </c>
      <c r="G864" s="212">
        <f>+E864*C864</f>
        <v>0</v>
      </c>
      <c r="H864" s="212">
        <f>+F864*C864</f>
        <v>0</v>
      </c>
    </row>
    <row r="865" spans="2:8" hidden="1" outlineLevel="2" x14ac:dyDescent="0.25">
      <c r="B865" s="1" t="s">
        <v>111</v>
      </c>
      <c r="C865" s="191">
        <v>5045.08</v>
      </c>
      <c r="E865" s="211">
        <v>0</v>
      </c>
      <c r="F865" s="211">
        <v>0</v>
      </c>
      <c r="G865" s="212">
        <f>+E865*C865</f>
        <v>0</v>
      </c>
      <c r="H865" s="212">
        <f>+F865*C865</f>
        <v>0</v>
      </c>
    </row>
    <row r="866" spans="2:8" hidden="1" outlineLevel="2" x14ac:dyDescent="0.25">
      <c r="B866" s="1" t="s">
        <v>112</v>
      </c>
      <c r="C866" s="191">
        <v>3100.09</v>
      </c>
      <c r="E866" s="211">
        <v>0</v>
      </c>
      <c r="F866" s="211">
        <v>0</v>
      </c>
      <c r="G866" s="212">
        <f>+E866*C866</f>
        <v>0</v>
      </c>
      <c r="H866" s="212">
        <f>+F866*C866</f>
        <v>0</v>
      </c>
    </row>
    <row r="867" spans="2:8" hidden="1" outlineLevel="2" x14ac:dyDescent="0.25">
      <c r="B867" s="1" t="s">
        <v>113</v>
      </c>
      <c r="C867" s="191">
        <v>2653.92</v>
      </c>
      <c r="E867" s="211">
        <v>0</v>
      </c>
      <c r="F867" s="211">
        <v>0</v>
      </c>
      <c r="G867" s="212">
        <f>+E867*C867</f>
        <v>0</v>
      </c>
      <c r="H867" s="212">
        <f>+F867*C867</f>
        <v>0</v>
      </c>
    </row>
    <row r="868" spans="2:8" hidden="1" outlineLevel="2" x14ac:dyDescent="0.25">
      <c r="B868" s="1" t="s">
        <v>114</v>
      </c>
      <c r="C868" s="191">
        <v>1452.12</v>
      </c>
      <c r="E868" s="211">
        <v>0</v>
      </c>
      <c r="F868" s="211">
        <v>0</v>
      </c>
      <c r="G868" s="212">
        <f>+E868*C868</f>
        <v>0</v>
      </c>
      <c r="H868" s="212">
        <f>+F868*C868</f>
        <v>0</v>
      </c>
    </row>
    <row r="869" spans="2:8" hidden="1" outlineLevel="2" x14ac:dyDescent="0.25">
      <c r="B869" s="1" t="s">
        <v>115</v>
      </c>
      <c r="C869" s="191">
        <v>2404.85</v>
      </c>
      <c r="E869" s="211">
        <v>0</v>
      </c>
      <c r="F869" s="211">
        <v>0</v>
      </c>
      <c r="G869" s="212">
        <f>+E869*C869</f>
        <v>0</v>
      </c>
      <c r="H869" s="212">
        <f>+F869*C869</f>
        <v>0</v>
      </c>
    </row>
    <row r="870" spans="2:8" hidden="1" outlineLevel="2" x14ac:dyDescent="0.25">
      <c r="B870" s="1" t="s">
        <v>116</v>
      </c>
      <c r="C870" s="191">
        <v>753.2</v>
      </c>
      <c r="E870" s="211">
        <v>0</v>
      </c>
      <c r="F870" s="211">
        <v>0</v>
      </c>
      <c r="G870" s="212">
        <f>+E870*C870</f>
        <v>0</v>
      </c>
      <c r="H870" s="212">
        <f>+F870*C870</f>
        <v>0</v>
      </c>
    </row>
    <row r="871" spans="2:8" hidden="1" outlineLevel="2" x14ac:dyDescent="0.25">
      <c r="B871" s="1" t="s">
        <v>117</v>
      </c>
      <c r="C871" s="191">
        <v>753.2</v>
      </c>
      <c r="E871" s="211">
        <v>0</v>
      </c>
      <c r="F871" s="211">
        <v>0</v>
      </c>
      <c r="G871" s="212">
        <f>+E871*C871</f>
        <v>0</v>
      </c>
      <c r="H871" s="212">
        <f>+F871*C871</f>
        <v>0</v>
      </c>
    </row>
    <row r="872" spans="2:8" hidden="1" outlineLevel="2" x14ac:dyDescent="0.25">
      <c r="B872" s="1" t="s">
        <v>326</v>
      </c>
      <c r="C872" s="191">
        <v>272.37</v>
      </c>
      <c r="E872" s="211">
        <v>0</v>
      </c>
      <c r="F872" s="211">
        <v>0</v>
      </c>
      <c r="G872" s="212">
        <f>+E872*C872</f>
        <v>0</v>
      </c>
      <c r="H872" s="212">
        <f>+F872*C872</f>
        <v>0</v>
      </c>
    </row>
    <row r="873" spans="2:8" hidden="1" outlineLevel="2" x14ac:dyDescent="0.25">
      <c r="B873" s="1" t="s">
        <v>118</v>
      </c>
      <c r="C873" s="191">
        <v>371.75</v>
      </c>
      <c r="E873" s="211">
        <v>0</v>
      </c>
      <c r="F873" s="211">
        <v>0</v>
      </c>
      <c r="G873" s="212">
        <f>+E873*C873</f>
        <v>0</v>
      </c>
      <c r="H873" s="212">
        <f>+F873*C873</f>
        <v>0</v>
      </c>
    </row>
    <row r="874" spans="2:8" hidden="1" outlineLevel="2" x14ac:dyDescent="0.25">
      <c r="B874" s="1" t="s">
        <v>119</v>
      </c>
      <c r="C874" s="191">
        <v>2465.0700000000002</v>
      </c>
      <c r="E874" s="211">
        <v>0</v>
      </c>
      <c r="F874" s="211">
        <v>0</v>
      </c>
      <c r="G874" s="212">
        <f>+E874*C874</f>
        <v>0</v>
      </c>
      <c r="H874" s="212">
        <f>+F874*C874</f>
        <v>0</v>
      </c>
    </row>
    <row r="875" spans="2:8" hidden="1" outlineLevel="2" x14ac:dyDescent="0.25">
      <c r="B875" s="1" t="s">
        <v>120</v>
      </c>
      <c r="C875" s="191">
        <v>582.14</v>
      </c>
      <c r="E875" s="211">
        <v>0</v>
      </c>
      <c r="F875" s="211">
        <v>0</v>
      </c>
      <c r="G875" s="212">
        <f>+E875*C875</f>
        <v>0</v>
      </c>
      <c r="H875" s="212">
        <f>+F875*C875</f>
        <v>0</v>
      </c>
    </row>
    <row r="876" spans="2:8" hidden="1" outlineLevel="2" x14ac:dyDescent="0.25">
      <c r="B876" s="1" t="s">
        <v>121</v>
      </c>
      <c r="C876" s="191">
        <v>574.99</v>
      </c>
      <c r="E876" s="211">
        <v>0</v>
      </c>
      <c r="F876" s="211">
        <v>0</v>
      </c>
      <c r="G876" s="212">
        <f>+E876*C876</f>
        <v>0</v>
      </c>
      <c r="H876" s="212">
        <f>+F876*C876</f>
        <v>0</v>
      </c>
    </row>
    <row r="877" spans="2:8" hidden="1" outlineLevel="2" x14ac:dyDescent="0.25">
      <c r="B877" s="1" t="s">
        <v>122</v>
      </c>
      <c r="C877" s="191">
        <v>1659.62</v>
      </c>
      <c r="E877" s="211">
        <v>0</v>
      </c>
      <c r="F877" s="211">
        <v>0</v>
      </c>
      <c r="G877" s="212">
        <f>+E877*C877</f>
        <v>0</v>
      </c>
      <c r="H877" s="212">
        <f>+F877*C877</f>
        <v>0</v>
      </c>
    </row>
    <row r="878" spans="2:8" hidden="1" outlineLevel="2" x14ac:dyDescent="0.25">
      <c r="B878" s="1" t="s">
        <v>123</v>
      </c>
      <c r="C878" s="191">
        <v>87.1</v>
      </c>
      <c r="E878" s="211">
        <v>0</v>
      </c>
      <c r="F878" s="211">
        <v>0</v>
      </c>
      <c r="G878" s="212">
        <f>+E878*C878</f>
        <v>0</v>
      </c>
      <c r="H878" s="212">
        <f>+F878*C878</f>
        <v>0</v>
      </c>
    </row>
    <row r="879" spans="2:8" hidden="1" outlineLevel="2" x14ac:dyDescent="0.25">
      <c r="B879" s="1" t="s">
        <v>124</v>
      </c>
      <c r="C879" s="191">
        <v>574.99</v>
      </c>
      <c r="E879" s="211">
        <v>0</v>
      </c>
      <c r="F879" s="211">
        <v>0</v>
      </c>
      <c r="G879" s="212">
        <f>+E879*C879</f>
        <v>0</v>
      </c>
      <c r="H879" s="212">
        <f>+F879*C879</f>
        <v>0</v>
      </c>
    </row>
    <row r="880" spans="2:8" hidden="1" outlineLevel="2" x14ac:dyDescent="0.25">
      <c r="B880" s="1" t="s">
        <v>125</v>
      </c>
      <c r="C880" s="191">
        <v>18766.14</v>
      </c>
      <c r="E880" s="211">
        <v>0</v>
      </c>
      <c r="F880" s="211">
        <v>0</v>
      </c>
      <c r="G880" s="212">
        <f>+E880*C880</f>
        <v>0</v>
      </c>
      <c r="H880" s="212">
        <f>+F880*C880</f>
        <v>0</v>
      </c>
    </row>
    <row r="881" spans="2:8" hidden="1" outlineLevel="2" x14ac:dyDescent="0.25">
      <c r="B881" s="1" t="s">
        <v>126</v>
      </c>
      <c r="C881" s="191">
        <v>11214.79</v>
      </c>
      <c r="E881" s="211">
        <v>0</v>
      </c>
      <c r="F881" s="211">
        <v>0</v>
      </c>
      <c r="G881" s="212">
        <f>+E881*C881</f>
        <v>0</v>
      </c>
      <c r="H881" s="212">
        <f>+F881*C881</f>
        <v>0</v>
      </c>
    </row>
    <row r="882" spans="2:8" hidden="1" outlineLevel="2" x14ac:dyDescent="0.25">
      <c r="B882" s="1" t="s">
        <v>127</v>
      </c>
      <c r="C882" s="191">
        <v>5062.1499999999996</v>
      </c>
      <c r="E882" s="211">
        <v>0</v>
      </c>
      <c r="F882" s="211">
        <v>0</v>
      </c>
      <c r="G882" s="212">
        <f>+E882*C882</f>
        <v>0</v>
      </c>
      <c r="H882" s="212">
        <f>+F882*C882</f>
        <v>0</v>
      </c>
    </row>
    <row r="883" spans="2:8" hidden="1" outlineLevel="2" x14ac:dyDescent="0.25">
      <c r="B883" s="1" t="s">
        <v>128</v>
      </c>
      <c r="C883" s="191">
        <v>7598.06</v>
      </c>
      <c r="E883" s="211">
        <v>0</v>
      </c>
      <c r="F883" s="211">
        <v>0</v>
      </c>
      <c r="G883" s="212">
        <f>+E883*C883</f>
        <v>0</v>
      </c>
      <c r="H883" s="212">
        <f>+F883*C883</f>
        <v>0</v>
      </c>
    </row>
    <row r="884" spans="2:8" hidden="1" outlineLevel="2" x14ac:dyDescent="0.25">
      <c r="B884" s="1" t="s">
        <v>129</v>
      </c>
      <c r="C884" s="191">
        <v>14734.01</v>
      </c>
      <c r="E884" s="211">
        <v>0</v>
      </c>
      <c r="F884" s="211">
        <v>0</v>
      </c>
      <c r="G884" s="212">
        <f>+E884*C884</f>
        <v>0</v>
      </c>
      <c r="H884" s="212">
        <f>+F884*C884</f>
        <v>0</v>
      </c>
    </row>
    <row r="885" spans="2:8" hidden="1" outlineLevel="2" x14ac:dyDescent="0.25">
      <c r="B885" s="1" t="s">
        <v>130</v>
      </c>
      <c r="C885" s="191">
        <v>50517.75</v>
      </c>
      <c r="E885" s="211">
        <v>0</v>
      </c>
      <c r="F885" s="211">
        <v>0</v>
      </c>
      <c r="G885" s="212">
        <f>+E885*C885</f>
        <v>0</v>
      </c>
      <c r="H885" s="212">
        <f>+F885*C885</f>
        <v>0</v>
      </c>
    </row>
    <row r="886" spans="2:8" hidden="1" outlineLevel="2" x14ac:dyDescent="0.25">
      <c r="B886" s="1" t="s">
        <v>131</v>
      </c>
      <c r="C886" s="191">
        <v>2501.31</v>
      </c>
      <c r="E886" s="211">
        <v>0</v>
      </c>
      <c r="F886" s="211">
        <v>0</v>
      </c>
      <c r="G886" s="212">
        <f>+E886*C886</f>
        <v>0</v>
      </c>
      <c r="H886" s="212">
        <f>+F886*C886</f>
        <v>0</v>
      </c>
    </row>
    <row r="887" spans="2:8" hidden="1" outlineLevel="2" x14ac:dyDescent="0.25">
      <c r="B887" s="1" t="s">
        <v>132</v>
      </c>
      <c r="C887" s="191">
        <v>13441.06</v>
      </c>
      <c r="E887" s="211">
        <v>0</v>
      </c>
      <c r="F887" s="211">
        <v>0</v>
      </c>
      <c r="G887" s="212">
        <f>+E887*C887</f>
        <v>0</v>
      </c>
      <c r="H887" s="212">
        <f>+F887*C887</f>
        <v>0</v>
      </c>
    </row>
    <row r="888" spans="2:8" hidden="1" outlineLevel="2" x14ac:dyDescent="0.25">
      <c r="B888" s="1" t="s">
        <v>133</v>
      </c>
      <c r="C888" s="191">
        <v>26888.5</v>
      </c>
      <c r="E888" s="211">
        <v>0</v>
      </c>
      <c r="F888" s="211">
        <v>0</v>
      </c>
      <c r="G888" s="212">
        <f>+E888*C888</f>
        <v>0</v>
      </c>
      <c r="H888" s="212">
        <f>+F888*C888</f>
        <v>0</v>
      </c>
    </row>
    <row r="889" spans="2:8" hidden="1" outlineLevel="1" collapsed="1" x14ac:dyDescent="0.25">
      <c r="B889" s="207" t="s">
        <v>136</v>
      </c>
      <c r="C889" s="208">
        <v>167033.85</v>
      </c>
      <c r="E889" s="209"/>
      <c r="F889" s="209"/>
      <c r="G889" s="210"/>
      <c r="H889" s="210"/>
    </row>
    <row r="890" spans="2:8" hidden="1" outlineLevel="2" x14ac:dyDescent="0.25">
      <c r="B890" s="1" t="s">
        <v>137</v>
      </c>
      <c r="C890" s="191">
        <v>0</v>
      </c>
      <c r="E890" s="211">
        <v>0</v>
      </c>
      <c r="F890" s="211">
        <v>0</v>
      </c>
      <c r="G890" s="212">
        <f>+E890*C890</f>
        <v>0</v>
      </c>
      <c r="H890" s="212">
        <f>+F890*C890</f>
        <v>0</v>
      </c>
    </row>
    <row r="891" spans="2:8" hidden="1" outlineLevel="2" x14ac:dyDescent="0.25">
      <c r="B891" s="1" t="s">
        <v>138</v>
      </c>
      <c r="C891" s="191">
        <v>25106.13</v>
      </c>
      <c r="E891" s="211">
        <v>0</v>
      </c>
      <c r="F891" s="211">
        <v>0</v>
      </c>
      <c r="G891" s="212">
        <f>+E891*C891</f>
        <v>0</v>
      </c>
      <c r="H891" s="212">
        <f>+F891*C891</f>
        <v>0</v>
      </c>
    </row>
    <row r="892" spans="2:8" hidden="1" outlineLevel="2" x14ac:dyDescent="0.25">
      <c r="B892" s="1" t="s">
        <v>140</v>
      </c>
      <c r="C892" s="191">
        <v>19843.650000000001</v>
      </c>
      <c r="E892" s="211">
        <v>0</v>
      </c>
      <c r="F892" s="211">
        <v>0</v>
      </c>
      <c r="G892" s="212">
        <f>+E892*C892</f>
        <v>0</v>
      </c>
      <c r="H892" s="212">
        <f>+F892*C892</f>
        <v>0</v>
      </c>
    </row>
    <row r="893" spans="2:8" hidden="1" outlineLevel="2" x14ac:dyDescent="0.25">
      <c r="B893" s="1" t="s">
        <v>141</v>
      </c>
      <c r="C893" s="191">
        <v>2267.86</v>
      </c>
      <c r="E893" s="211">
        <v>0</v>
      </c>
      <c r="F893" s="211">
        <v>0</v>
      </c>
      <c r="G893" s="212">
        <f>+E893*C893</f>
        <v>0</v>
      </c>
      <c r="H893" s="212">
        <f>+F893*C893</f>
        <v>0</v>
      </c>
    </row>
    <row r="894" spans="2:8" hidden="1" outlineLevel="2" x14ac:dyDescent="0.25">
      <c r="B894" s="1" t="s">
        <v>142</v>
      </c>
      <c r="C894" s="191">
        <v>3146.27</v>
      </c>
      <c r="E894" s="211">
        <v>0</v>
      </c>
      <c r="F894" s="211">
        <v>0</v>
      </c>
      <c r="G894" s="212">
        <f>+E894*C894</f>
        <v>0</v>
      </c>
      <c r="H894" s="212">
        <f>+F894*C894</f>
        <v>0</v>
      </c>
    </row>
    <row r="895" spans="2:8" hidden="1" outlineLevel="2" x14ac:dyDescent="0.25">
      <c r="B895" s="1" t="s">
        <v>143</v>
      </c>
      <c r="C895" s="191">
        <v>6981.21</v>
      </c>
      <c r="E895" s="211">
        <v>0</v>
      </c>
      <c r="F895" s="211">
        <v>0</v>
      </c>
      <c r="G895" s="212">
        <f>+E895*C895</f>
        <v>0</v>
      </c>
      <c r="H895" s="212">
        <f>+F895*C895</f>
        <v>0</v>
      </c>
    </row>
    <row r="896" spans="2:8" hidden="1" outlineLevel="2" x14ac:dyDescent="0.25">
      <c r="B896" s="1" t="s">
        <v>146</v>
      </c>
      <c r="C896" s="191">
        <v>21736.69</v>
      </c>
      <c r="E896" s="211">
        <v>0</v>
      </c>
      <c r="F896" s="211">
        <v>0</v>
      </c>
      <c r="G896" s="212">
        <f>+E896*C896</f>
        <v>0</v>
      </c>
      <c r="H896" s="212">
        <f>+F896*C896</f>
        <v>0</v>
      </c>
    </row>
    <row r="897" spans="2:8" hidden="1" outlineLevel="2" x14ac:dyDescent="0.25">
      <c r="B897" s="1" t="s">
        <v>147</v>
      </c>
      <c r="C897" s="191">
        <v>6832.58</v>
      </c>
      <c r="E897" s="211">
        <v>0</v>
      </c>
      <c r="F897" s="211">
        <v>0</v>
      </c>
      <c r="G897" s="212">
        <f>+E897*C897</f>
        <v>0</v>
      </c>
      <c r="H897" s="212">
        <f>+F897*C897</f>
        <v>0</v>
      </c>
    </row>
    <row r="898" spans="2:8" hidden="1" outlineLevel="2" x14ac:dyDescent="0.25">
      <c r="B898" s="1" t="s">
        <v>148</v>
      </c>
      <c r="C898" s="191">
        <v>7108.11</v>
      </c>
      <c r="E898" s="211">
        <v>0</v>
      </c>
      <c r="F898" s="211">
        <v>0</v>
      </c>
      <c r="G898" s="212">
        <f>+E898*C898</f>
        <v>0</v>
      </c>
      <c r="H898" s="212">
        <f>+F898*C898</f>
        <v>0</v>
      </c>
    </row>
    <row r="899" spans="2:8" hidden="1" outlineLevel="2" x14ac:dyDescent="0.25">
      <c r="B899" s="1" t="s">
        <v>149</v>
      </c>
      <c r="C899" s="191">
        <v>18986.43</v>
      </c>
      <c r="E899" s="211">
        <v>0</v>
      </c>
      <c r="F899" s="211">
        <v>0</v>
      </c>
      <c r="G899" s="212">
        <f>+E899*C899</f>
        <v>0</v>
      </c>
      <c r="H899" s="212">
        <f>+F899*C899</f>
        <v>0</v>
      </c>
    </row>
    <row r="900" spans="2:8" hidden="1" outlineLevel="2" x14ac:dyDescent="0.25">
      <c r="B900" s="1" t="s">
        <v>150</v>
      </c>
      <c r="C900" s="191">
        <v>52446.46</v>
      </c>
      <c r="E900" s="211">
        <v>0</v>
      </c>
      <c r="F900" s="211">
        <v>0</v>
      </c>
      <c r="G900" s="212">
        <f>+E900*C900</f>
        <v>0</v>
      </c>
      <c r="H900" s="212">
        <f>+F900*C900</f>
        <v>0</v>
      </c>
    </row>
    <row r="901" spans="2:8" hidden="1" outlineLevel="2" x14ac:dyDescent="0.25">
      <c r="B901" s="1" t="s">
        <v>327</v>
      </c>
      <c r="C901" s="191">
        <v>1637.54</v>
      </c>
      <c r="E901" s="211">
        <v>0</v>
      </c>
      <c r="F901" s="211">
        <v>0</v>
      </c>
      <c r="G901" s="212">
        <f>+E901*C901</f>
        <v>0</v>
      </c>
      <c r="H901" s="212">
        <f>+F901*C901</f>
        <v>0</v>
      </c>
    </row>
    <row r="902" spans="2:8" hidden="1" outlineLevel="2" x14ac:dyDescent="0.25">
      <c r="B902" s="1" t="s">
        <v>116</v>
      </c>
      <c r="C902" s="191">
        <v>470.46</v>
      </c>
      <c r="E902" s="211">
        <v>0</v>
      </c>
      <c r="F902" s="211">
        <v>0</v>
      </c>
      <c r="G902" s="212">
        <f>+E902*C902</f>
        <v>0</v>
      </c>
      <c r="H902" s="212">
        <f>+F902*C902</f>
        <v>0</v>
      </c>
    </row>
    <row r="903" spans="2:8" hidden="1" outlineLevel="2" x14ac:dyDescent="0.25">
      <c r="B903" s="1" t="s">
        <v>117</v>
      </c>
      <c r="C903" s="191">
        <v>470.46</v>
      </c>
      <c r="E903" s="211">
        <v>0</v>
      </c>
      <c r="F903" s="211">
        <v>0</v>
      </c>
      <c r="G903" s="212">
        <f>+E903*C903</f>
        <v>0</v>
      </c>
      <c r="H903" s="212">
        <f>+F903*C903</f>
        <v>0</v>
      </c>
    </row>
    <row r="904" spans="2:8" hidden="1" outlineLevel="1" collapsed="1" x14ac:dyDescent="0.25">
      <c r="B904" s="207" t="s">
        <v>151</v>
      </c>
      <c r="C904" s="208">
        <v>26683.07</v>
      </c>
      <c r="E904" s="209"/>
      <c r="F904" s="209"/>
      <c r="G904" s="210"/>
      <c r="H904" s="210"/>
    </row>
    <row r="905" spans="2:8" hidden="1" outlineLevel="2" x14ac:dyDescent="0.25">
      <c r="B905" s="1" t="s">
        <v>152</v>
      </c>
      <c r="C905" s="191">
        <v>26683.07</v>
      </c>
      <c r="E905" s="211">
        <v>0</v>
      </c>
      <c r="F905" s="211">
        <v>0</v>
      </c>
      <c r="G905" s="212">
        <f>+E905*C905</f>
        <v>0</v>
      </c>
      <c r="H905" s="212">
        <f>+F905*C905</f>
        <v>0</v>
      </c>
    </row>
    <row r="906" spans="2:8" hidden="1" outlineLevel="1" collapsed="1" x14ac:dyDescent="0.25">
      <c r="B906" s="207" t="s">
        <v>153</v>
      </c>
      <c r="C906" s="208">
        <v>203007.14</v>
      </c>
      <c r="E906" s="209"/>
      <c r="F906" s="209"/>
      <c r="G906" s="210"/>
      <c r="H906" s="210"/>
    </row>
    <row r="907" spans="2:8" hidden="1" outlineLevel="2" x14ac:dyDescent="0.25">
      <c r="B907" s="1" t="s">
        <v>328</v>
      </c>
      <c r="C907" s="191">
        <v>12050.32</v>
      </c>
      <c r="E907" s="211">
        <v>0</v>
      </c>
      <c r="F907" s="211">
        <v>0</v>
      </c>
      <c r="G907" s="212">
        <f>+E907*C907</f>
        <v>0</v>
      </c>
      <c r="H907" s="212">
        <f>+F907*C907</f>
        <v>0</v>
      </c>
    </row>
    <row r="908" spans="2:8" hidden="1" outlineLevel="2" x14ac:dyDescent="0.25">
      <c r="B908" s="1" t="s">
        <v>329</v>
      </c>
      <c r="C908" s="191">
        <v>7601.03</v>
      </c>
      <c r="E908" s="211">
        <v>0</v>
      </c>
      <c r="F908" s="211">
        <v>0</v>
      </c>
      <c r="G908" s="212">
        <f>+E908*C908</f>
        <v>0</v>
      </c>
      <c r="H908" s="212">
        <f>+F908*C908</f>
        <v>0</v>
      </c>
    </row>
    <row r="909" spans="2:8" hidden="1" outlineLevel="2" x14ac:dyDescent="0.25">
      <c r="B909" s="1" t="s">
        <v>164</v>
      </c>
      <c r="C909" s="191">
        <v>975.71</v>
      </c>
      <c r="E909" s="211">
        <v>0</v>
      </c>
      <c r="F909" s="211">
        <v>0</v>
      </c>
      <c r="G909" s="212">
        <f>+E909*C909</f>
        <v>0</v>
      </c>
      <c r="H909" s="212">
        <f>+F909*C909</f>
        <v>0</v>
      </c>
    </row>
    <row r="910" spans="2:8" hidden="1" outlineLevel="2" x14ac:dyDescent="0.25">
      <c r="B910" s="1" t="s">
        <v>330</v>
      </c>
      <c r="C910" s="191">
        <v>1982.23</v>
      </c>
      <c r="E910" s="211">
        <v>0</v>
      </c>
      <c r="F910" s="211">
        <v>0</v>
      </c>
      <c r="G910" s="212">
        <f>+E910*C910</f>
        <v>0</v>
      </c>
      <c r="H910" s="212">
        <f>+F910*C910</f>
        <v>0</v>
      </c>
    </row>
    <row r="911" spans="2:8" hidden="1" outlineLevel="2" x14ac:dyDescent="0.25">
      <c r="B911" s="1" t="s">
        <v>162</v>
      </c>
      <c r="C911" s="191">
        <v>1165.56</v>
      </c>
      <c r="E911" s="211">
        <v>0</v>
      </c>
      <c r="F911" s="211">
        <v>0</v>
      </c>
      <c r="G911" s="212">
        <f>+E911*C911</f>
        <v>0</v>
      </c>
      <c r="H911" s="212">
        <f>+F911*C911</f>
        <v>0</v>
      </c>
    </row>
    <row r="912" spans="2:8" hidden="1" outlineLevel="2" x14ac:dyDescent="0.25">
      <c r="B912" s="1" t="s">
        <v>163</v>
      </c>
      <c r="C912" s="191">
        <v>11155.31</v>
      </c>
      <c r="E912" s="211">
        <v>0</v>
      </c>
      <c r="F912" s="211">
        <v>0</v>
      </c>
      <c r="G912" s="212">
        <f>+E912*C912</f>
        <v>0</v>
      </c>
      <c r="H912" s="212">
        <f>+F912*C912</f>
        <v>0</v>
      </c>
    </row>
    <row r="913" spans="2:8" hidden="1" outlineLevel="2" x14ac:dyDescent="0.25">
      <c r="B913" s="1" t="s">
        <v>331</v>
      </c>
      <c r="C913" s="191">
        <v>8306.69</v>
      </c>
      <c r="E913" s="211">
        <v>0</v>
      </c>
      <c r="F913" s="211">
        <v>0</v>
      </c>
      <c r="G913" s="212">
        <f>+E913*C913</f>
        <v>0</v>
      </c>
      <c r="H913" s="212">
        <f>+F913*C913</f>
        <v>0</v>
      </c>
    </row>
    <row r="914" spans="2:8" hidden="1" outlineLevel="2" x14ac:dyDescent="0.25">
      <c r="B914" s="1" t="s">
        <v>332</v>
      </c>
      <c r="C914" s="191">
        <v>1060.23</v>
      </c>
      <c r="E914" s="211">
        <v>0</v>
      </c>
      <c r="F914" s="211">
        <v>0</v>
      </c>
      <c r="G914" s="212">
        <f>+E914*C914</f>
        <v>0</v>
      </c>
      <c r="H914" s="212">
        <f>+F914*C914</f>
        <v>0</v>
      </c>
    </row>
    <row r="915" spans="2:8" hidden="1" outlineLevel="2" x14ac:dyDescent="0.25">
      <c r="B915" s="1" t="s">
        <v>333</v>
      </c>
      <c r="C915" s="191">
        <v>22015.54</v>
      </c>
      <c r="E915" s="211">
        <v>0</v>
      </c>
      <c r="F915" s="211">
        <v>0</v>
      </c>
      <c r="G915" s="212">
        <f>+E915*C915</f>
        <v>0</v>
      </c>
      <c r="H915" s="212">
        <f>+F915*C915</f>
        <v>0</v>
      </c>
    </row>
    <row r="916" spans="2:8" hidden="1" outlineLevel="2" x14ac:dyDescent="0.25">
      <c r="B916" s="1" t="s">
        <v>334</v>
      </c>
      <c r="C916" s="191">
        <v>2269.54</v>
      </c>
      <c r="E916" s="211">
        <v>0</v>
      </c>
      <c r="F916" s="211">
        <v>0</v>
      </c>
      <c r="G916" s="212">
        <f>+E916*C916</f>
        <v>0</v>
      </c>
      <c r="H916" s="212">
        <f>+F916*C916</f>
        <v>0</v>
      </c>
    </row>
    <row r="917" spans="2:8" hidden="1" outlineLevel="2" x14ac:dyDescent="0.25">
      <c r="B917" s="1" t="s">
        <v>335</v>
      </c>
      <c r="C917" s="191">
        <v>1319.5</v>
      </c>
      <c r="E917" s="211">
        <v>0</v>
      </c>
      <c r="F917" s="211">
        <v>0</v>
      </c>
      <c r="G917" s="212">
        <f>+E917*C917</f>
        <v>0</v>
      </c>
      <c r="H917" s="212">
        <f>+F917*C917</f>
        <v>0</v>
      </c>
    </row>
    <row r="918" spans="2:8" hidden="1" outlineLevel="2" x14ac:dyDescent="0.25">
      <c r="B918" s="1" t="s">
        <v>165</v>
      </c>
      <c r="C918" s="191">
        <v>3628.43</v>
      </c>
      <c r="E918" s="211">
        <v>0</v>
      </c>
      <c r="F918" s="211">
        <v>0</v>
      </c>
      <c r="G918" s="212">
        <f>+E918*C918</f>
        <v>0</v>
      </c>
      <c r="H918" s="212">
        <f>+F918*C918</f>
        <v>0</v>
      </c>
    </row>
    <row r="919" spans="2:8" hidden="1" outlineLevel="2" x14ac:dyDescent="0.25">
      <c r="B919" s="1" t="s">
        <v>336</v>
      </c>
      <c r="C919" s="191">
        <v>1314.66</v>
      </c>
      <c r="E919" s="211">
        <v>0</v>
      </c>
      <c r="F919" s="211">
        <v>0</v>
      </c>
      <c r="G919" s="212">
        <f>+E919*C919</f>
        <v>0</v>
      </c>
      <c r="H919" s="212">
        <f>+F919*C919</f>
        <v>0</v>
      </c>
    </row>
    <row r="920" spans="2:8" hidden="1" outlineLevel="2" x14ac:dyDescent="0.25">
      <c r="B920" s="1" t="s">
        <v>337</v>
      </c>
      <c r="C920" s="191">
        <v>20441.740000000002</v>
      </c>
      <c r="E920" s="211">
        <v>0</v>
      </c>
      <c r="F920" s="211">
        <v>0</v>
      </c>
      <c r="G920" s="212">
        <f>+E920*C920</f>
        <v>0</v>
      </c>
      <c r="H920" s="212">
        <f>+F920*C920</f>
        <v>0</v>
      </c>
    </row>
    <row r="921" spans="2:8" hidden="1" outlineLevel="2" x14ac:dyDescent="0.25">
      <c r="B921" s="1" t="s">
        <v>167</v>
      </c>
      <c r="C921" s="191">
        <v>57407.360000000001</v>
      </c>
      <c r="E921" s="211">
        <v>0</v>
      </c>
      <c r="F921" s="211">
        <v>0</v>
      </c>
      <c r="G921" s="212">
        <f>+E921*C921</f>
        <v>0</v>
      </c>
      <c r="H921" s="212">
        <f>+F921*C921</f>
        <v>0</v>
      </c>
    </row>
    <row r="922" spans="2:8" hidden="1" outlineLevel="2" x14ac:dyDescent="0.25">
      <c r="B922" s="1" t="s">
        <v>131</v>
      </c>
      <c r="C922" s="191">
        <v>2378.69</v>
      </c>
      <c r="E922" s="211">
        <v>0</v>
      </c>
      <c r="F922" s="211">
        <v>0</v>
      </c>
      <c r="G922" s="212">
        <f>+E922*C922</f>
        <v>0</v>
      </c>
      <c r="H922" s="212">
        <f>+F922*C922</f>
        <v>0</v>
      </c>
    </row>
    <row r="923" spans="2:8" hidden="1" outlineLevel="2" x14ac:dyDescent="0.25">
      <c r="B923" s="1" t="s">
        <v>166</v>
      </c>
      <c r="C923" s="191">
        <v>33366.230000000003</v>
      </c>
      <c r="E923" s="211">
        <v>0</v>
      </c>
      <c r="F923" s="211">
        <v>0</v>
      </c>
      <c r="G923" s="212">
        <f>+E923*C923</f>
        <v>0</v>
      </c>
      <c r="H923" s="212">
        <f>+F923*C923</f>
        <v>0</v>
      </c>
    </row>
    <row r="924" spans="2:8" hidden="1" outlineLevel="2" x14ac:dyDescent="0.25">
      <c r="B924" s="1" t="s">
        <v>168</v>
      </c>
      <c r="C924" s="191">
        <v>4977.22</v>
      </c>
      <c r="E924" s="211">
        <v>0</v>
      </c>
      <c r="F924" s="211">
        <v>0</v>
      </c>
      <c r="G924" s="212">
        <f>+E924*C924</f>
        <v>0</v>
      </c>
      <c r="H924" s="212">
        <f>+F924*C924</f>
        <v>0</v>
      </c>
    </row>
    <row r="925" spans="2:8" hidden="1" outlineLevel="2" x14ac:dyDescent="0.25">
      <c r="B925" s="1" t="s">
        <v>169</v>
      </c>
      <c r="C925" s="191">
        <v>5312.02</v>
      </c>
      <c r="E925" s="211">
        <v>0</v>
      </c>
      <c r="F925" s="211">
        <v>0</v>
      </c>
      <c r="G925" s="212">
        <f>+E925*C925</f>
        <v>0</v>
      </c>
      <c r="H925" s="212">
        <f>+F925*C925</f>
        <v>0</v>
      </c>
    </row>
    <row r="926" spans="2:8" hidden="1" outlineLevel="2" x14ac:dyDescent="0.25">
      <c r="B926" s="1" t="s">
        <v>338</v>
      </c>
      <c r="C926" s="191">
        <v>717.18</v>
      </c>
      <c r="E926" s="211">
        <v>0</v>
      </c>
      <c r="F926" s="211">
        <v>0</v>
      </c>
      <c r="G926" s="212">
        <f>+E926*C926</f>
        <v>0</v>
      </c>
      <c r="H926" s="212">
        <f>+F926*C926</f>
        <v>0</v>
      </c>
    </row>
    <row r="927" spans="2:8" hidden="1" outlineLevel="2" x14ac:dyDescent="0.25">
      <c r="B927" s="1" t="s">
        <v>339</v>
      </c>
      <c r="C927" s="191">
        <v>1532.33</v>
      </c>
      <c r="E927" s="211">
        <v>0</v>
      </c>
      <c r="F927" s="211">
        <v>0</v>
      </c>
      <c r="G927" s="212">
        <f>+E927*C927</f>
        <v>0</v>
      </c>
      <c r="H927" s="212">
        <f>+F927*C927</f>
        <v>0</v>
      </c>
    </row>
    <row r="928" spans="2:8" hidden="1" outlineLevel="2" x14ac:dyDescent="0.25">
      <c r="B928" s="1" t="s">
        <v>121</v>
      </c>
      <c r="C928" s="191">
        <v>574.99</v>
      </c>
      <c r="E928" s="211">
        <v>0</v>
      </c>
      <c r="F928" s="211">
        <v>0</v>
      </c>
      <c r="G928" s="212">
        <f>+E928*C928</f>
        <v>0</v>
      </c>
      <c r="H928" s="212">
        <f>+F928*C928</f>
        <v>0</v>
      </c>
    </row>
    <row r="929" spans="2:8" hidden="1" outlineLevel="2" x14ac:dyDescent="0.25">
      <c r="B929" s="1" t="s">
        <v>340</v>
      </c>
      <c r="C929" s="191">
        <v>402.9</v>
      </c>
      <c r="E929" s="211">
        <v>0</v>
      </c>
      <c r="F929" s="211">
        <v>0</v>
      </c>
      <c r="G929" s="212">
        <f>+E929*C929</f>
        <v>0</v>
      </c>
      <c r="H929" s="212">
        <f>+F929*C929</f>
        <v>0</v>
      </c>
    </row>
    <row r="930" spans="2:8" hidden="1" outlineLevel="2" x14ac:dyDescent="0.25">
      <c r="B930" s="1" t="s">
        <v>341</v>
      </c>
      <c r="C930" s="191">
        <v>476.74</v>
      </c>
      <c r="E930" s="211">
        <v>0</v>
      </c>
      <c r="F930" s="211">
        <v>0</v>
      </c>
      <c r="G930" s="212">
        <f>+E930*C930</f>
        <v>0</v>
      </c>
      <c r="H930" s="212">
        <f>+F930*C930</f>
        <v>0</v>
      </c>
    </row>
    <row r="931" spans="2:8" hidden="1" outlineLevel="2" x14ac:dyDescent="0.25">
      <c r="B931" s="1" t="s">
        <v>124</v>
      </c>
      <c r="C931" s="191">
        <v>574.99</v>
      </c>
      <c r="E931" s="211">
        <v>0</v>
      </c>
      <c r="F931" s="211">
        <v>0</v>
      </c>
      <c r="G931" s="212">
        <f>+E931*C931</f>
        <v>0</v>
      </c>
      <c r="H931" s="212">
        <f>+F931*C931</f>
        <v>0</v>
      </c>
    </row>
    <row r="932" spans="2:8" hidden="1" outlineLevel="1" collapsed="1" x14ac:dyDescent="0.25">
      <c r="B932" s="207" t="s">
        <v>174</v>
      </c>
      <c r="C932" s="208">
        <v>226919.92</v>
      </c>
      <c r="E932" s="209"/>
      <c r="F932" s="209"/>
      <c r="G932" s="210"/>
      <c r="H932" s="210"/>
    </row>
    <row r="933" spans="2:8" hidden="1" outlineLevel="2" x14ac:dyDescent="0.25">
      <c r="B933" s="1" t="s">
        <v>175</v>
      </c>
      <c r="C933" s="191">
        <v>0</v>
      </c>
      <c r="E933" s="211">
        <v>0</v>
      </c>
      <c r="F933" s="211">
        <v>0</v>
      </c>
      <c r="G933" s="212">
        <f>+E933*C933</f>
        <v>0</v>
      </c>
      <c r="H933" s="212">
        <f>+F933*C933</f>
        <v>0</v>
      </c>
    </row>
    <row r="934" spans="2:8" hidden="1" outlineLevel="2" x14ac:dyDescent="0.25">
      <c r="B934" s="1" t="s">
        <v>138</v>
      </c>
      <c r="C934" s="191">
        <v>28730.91</v>
      </c>
      <c r="E934" s="211">
        <v>0</v>
      </c>
      <c r="F934" s="211">
        <v>0</v>
      </c>
      <c r="G934" s="212">
        <f>+E934*C934</f>
        <v>0</v>
      </c>
      <c r="H934" s="212">
        <f>+F934*C934</f>
        <v>0</v>
      </c>
    </row>
    <row r="935" spans="2:8" hidden="1" outlineLevel="2" x14ac:dyDescent="0.25">
      <c r="B935" s="1" t="s">
        <v>139</v>
      </c>
      <c r="C935" s="191">
        <v>13836.35</v>
      </c>
      <c r="E935" s="211">
        <v>0</v>
      </c>
      <c r="F935" s="211">
        <v>0</v>
      </c>
      <c r="G935" s="212">
        <f>+E935*C935</f>
        <v>0</v>
      </c>
      <c r="H935" s="212">
        <f>+F935*C935</f>
        <v>0</v>
      </c>
    </row>
    <row r="936" spans="2:8" hidden="1" outlineLevel="2" x14ac:dyDescent="0.25">
      <c r="B936" s="1" t="s">
        <v>141</v>
      </c>
      <c r="C936" s="191">
        <v>4849.9399999999996</v>
      </c>
      <c r="E936" s="211">
        <v>0</v>
      </c>
      <c r="F936" s="211">
        <v>0</v>
      </c>
      <c r="G936" s="212">
        <f>+E936*C936</f>
        <v>0</v>
      </c>
      <c r="H936" s="212">
        <f>+F936*C936</f>
        <v>0</v>
      </c>
    </row>
    <row r="937" spans="2:8" hidden="1" outlineLevel="2" x14ac:dyDescent="0.25">
      <c r="B937" s="1" t="s">
        <v>142</v>
      </c>
      <c r="C937" s="191">
        <v>7235.14</v>
      </c>
      <c r="E937" s="211">
        <v>0</v>
      </c>
      <c r="F937" s="211">
        <v>0</v>
      </c>
      <c r="G937" s="212">
        <f>+E937*C937</f>
        <v>0</v>
      </c>
      <c r="H937" s="212">
        <f>+F937*C937</f>
        <v>0</v>
      </c>
    </row>
    <row r="938" spans="2:8" hidden="1" outlineLevel="2" x14ac:dyDescent="0.25">
      <c r="B938" s="1" t="s">
        <v>342</v>
      </c>
      <c r="C938" s="191">
        <v>3264.93</v>
      </c>
      <c r="E938" s="211">
        <v>0</v>
      </c>
      <c r="F938" s="211">
        <v>0</v>
      </c>
      <c r="G938" s="212">
        <f>+E938*C938</f>
        <v>0</v>
      </c>
      <c r="H938" s="212">
        <f>+F938*C938</f>
        <v>0</v>
      </c>
    </row>
    <row r="939" spans="2:8" hidden="1" outlineLevel="2" x14ac:dyDescent="0.25">
      <c r="B939" s="1" t="s">
        <v>343</v>
      </c>
      <c r="C939" s="191">
        <v>14238.46</v>
      </c>
      <c r="E939" s="211">
        <v>0</v>
      </c>
      <c r="F939" s="211">
        <v>0</v>
      </c>
      <c r="G939" s="212">
        <f>+E939*C939</f>
        <v>0</v>
      </c>
      <c r="H939" s="212">
        <f>+F939*C939</f>
        <v>0</v>
      </c>
    </row>
    <row r="940" spans="2:8" hidden="1" outlineLevel="2" x14ac:dyDescent="0.25">
      <c r="B940" s="1" t="s">
        <v>146</v>
      </c>
      <c r="C940" s="191">
        <v>25086.720000000001</v>
      </c>
      <c r="E940" s="211">
        <v>0</v>
      </c>
      <c r="F940" s="211">
        <v>0</v>
      </c>
      <c r="G940" s="212">
        <f>+E940*C940</f>
        <v>0</v>
      </c>
      <c r="H940" s="212">
        <f>+F940*C940</f>
        <v>0</v>
      </c>
    </row>
    <row r="941" spans="2:8" hidden="1" outlineLevel="2" x14ac:dyDescent="0.25">
      <c r="B941" s="1" t="s">
        <v>147</v>
      </c>
      <c r="C941" s="191">
        <v>18304.060000000001</v>
      </c>
      <c r="E941" s="211">
        <v>0</v>
      </c>
      <c r="F941" s="211">
        <v>0</v>
      </c>
      <c r="G941" s="212">
        <f>+E941*C941</f>
        <v>0</v>
      </c>
      <c r="H941" s="212">
        <f>+F941*C941</f>
        <v>0</v>
      </c>
    </row>
    <row r="942" spans="2:8" hidden="1" outlineLevel="2" x14ac:dyDescent="0.25">
      <c r="B942" s="1" t="s">
        <v>148</v>
      </c>
      <c r="C942" s="191">
        <v>20409.62</v>
      </c>
      <c r="E942" s="211">
        <v>0</v>
      </c>
      <c r="F942" s="211">
        <v>0</v>
      </c>
      <c r="G942" s="212">
        <f>+E942*C942</f>
        <v>0</v>
      </c>
      <c r="H942" s="212">
        <f>+F942*C942</f>
        <v>0</v>
      </c>
    </row>
    <row r="943" spans="2:8" hidden="1" outlineLevel="2" x14ac:dyDescent="0.25">
      <c r="B943" s="1" t="s">
        <v>149</v>
      </c>
      <c r="C943" s="191">
        <v>38435.51</v>
      </c>
      <c r="E943" s="211">
        <v>0</v>
      </c>
      <c r="F943" s="211">
        <v>0</v>
      </c>
      <c r="G943" s="212">
        <f>+E943*C943</f>
        <v>0</v>
      </c>
      <c r="H943" s="212">
        <f>+F943*C943</f>
        <v>0</v>
      </c>
    </row>
    <row r="944" spans="2:8" hidden="1" outlineLevel="2" x14ac:dyDescent="0.25">
      <c r="B944" s="1" t="s">
        <v>176</v>
      </c>
      <c r="C944" s="191">
        <v>51569.72</v>
      </c>
      <c r="E944" s="211">
        <v>0</v>
      </c>
      <c r="F944" s="211">
        <v>0</v>
      </c>
      <c r="G944" s="212">
        <f>+E944*C944</f>
        <v>0</v>
      </c>
      <c r="H944" s="212">
        <f>+F944*C944</f>
        <v>0</v>
      </c>
    </row>
    <row r="945" spans="2:8" hidden="1" outlineLevel="2" x14ac:dyDescent="0.25">
      <c r="B945" s="1" t="s">
        <v>344</v>
      </c>
      <c r="C945" s="191">
        <v>958.56</v>
      </c>
      <c r="E945" s="211">
        <v>0</v>
      </c>
      <c r="F945" s="211">
        <v>0</v>
      </c>
      <c r="G945" s="212">
        <f>+E945*C945</f>
        <v>0</v>
      </c>
      <c r="H945" s="212">
        <f>+F945*C945</f>
        <v>0</v>
      </c>
    </row>
    <row r="946" spans="2:8" hidden="1" outlineLevel="1" collapsed="1" x14ac:dyDescent="0.25">
      <c r="B946" s="207" t="s">
        <v>177</v>
      </c>
      <c r="C946" s="208">
        <v>126484.85</v>
      </c>
      <c r="E946" s="209"/>
      <c r="F946" s="209"/>
      <c r="G946" s="210"/>
      <c r="H946" s="210"/>
    </row>
    <row r="947" spans="2:8" hidden="1" outlineLevel="2" x14ac:dyDescent="0.25">
      <c r="B947" s="1" t="s">
        <v>178</v>
      </c>
      <c r="C947" s="191">
        <v>7848.02</v>
      </c>
      <c r="E947" s="211">
        <v>0</v>
      </c>
      <c r="F947" s="211">
        <v>0</v>
      </c>
      <c r="G947" s="212">
        <f>+E947*C947</f>
        <v>0</v>
      </c>
      <c r="H947" s="212">
        <f>+F947*C947</f>
        <v>0</v>
      </c>
    </row>
    <row r="948" spans="2:8" hidden="1" outlineLevel="2" x14ac:dyDescent="0.25">
      <c r="B948" s="1" t="s">
        <v>345</v>
      </c>
      <c r="C948" s="191">
        <v>9347.3799999999992</v>
      </c>
      <c r="E948" s="211">
        <v>0</v>
      </c>
      <c r="F948" s="211">
        <v>0</v>
      </c>
      <c r="G948" s="212">
        <f>+E948*C948</f>
        <v>0</v>
      </c>
      <c r="H948" s="212">
        <f>+F948*C948</f>
        <v>0</v>
      </c>
    </row>
    <row r="949" spans="2:8" hidden="1" outlineLevel="2" x14ac:dyDescent="0.25">
      <c r="B949" s="1" t="s">
        <v>346</v>
      </c>
      <c r="C949" s="191">
        <v>2564.4</v>
      </c>
      <c r="E949" s="211">
        <v>0</v>
      </c>
      <c r="F949" s="211">
        <v>0</v>
      </c>
      <c r="G949" s="212">
        <f>+E949*C949</f>
        <v>0</v>
      </c>
      <c r="H949" s="212">
        <f>+F949*C949</f>
        <v>0</v>
      </c>
    </row>
    <row r="950" spans="2:8" hidden="1" outlineLevel="2" x14ac:dyDescent="0.25">
      <c r="B950" s="1" t="s">
        <v>347</v>
      </c>
      <c r="C950" s="191">
        <v>1710.04</v>
      </c>
      <c r="E950" s="211">
        <v>0</v>
      </c>
      <c r="F950" s="211">
        <v>0</v>
      </c>
      <c r="G950" s="212">
        <f>+E950*C950</f>
        <v>0</v>
      </c>
      <c r="H950" s="212">
        <f>+F950*C950</f>
        <v>0</v>
      </c>
    </row>
    <row r="951" spans="2:8" hidden="1" outlineLevel="2" x14ac:dyDescent="0.25">
      <c r="B951" s="1" t="s">
        <v>348</v>
      </c>
      <c r="C951" s="191">
        <v>872.84</v>
      </c>
      <c r="E951" s="211">
        <v>0</v>
      </c>
      <c r="F951" s="211">
        <v>0</v>
      </c>
      <c r="G951" s="212">
        <f>+E951*C951</f>
        <v>0</v>
      </c>
      <c r="H951" s="212">
        <f>+F951*C951</f>
        <v>0</v>
      </c>
    </row>
    <row r="952" spans="2:8" hidden="1" outlineLevel="2" x14ac:dyDescent="0.25">
      <c r="B952" s="1" t="s">
        <v>349</v>
      </c>
      <c r="C952" s="191">
        <v>463.16</v>
      </c>
      <c r="E952" s="211">
        <v>0</v>
      </c>
      <c r="F952" s="211">
        <v>0</v>
      </c>
      <c r="G952" s="212">
        <f>+E952*C952</f>
        <v>0</v>
      </c>
      <c r="H952" s="212">
        <f>+F952*C952</f>
        <v>0</v>
      </c>
    </row>
    <row r="953" spans="2:8" hidden="1" outlineLevel="2" x14ac:dyDescent="0.25">
      <c r="B953" s="1" t="s">
        <v>350</v>
      </c>
      <c r="C953" s="191">
        <v>1923.92</v>
      </c>
      <c r="E953" s="211">
        <v>0</v>
      </c>
      <c r="F953" s="211">
        <v>0</v>
      </c>
      <c r="G953" s="212">
        <f>+E953*C953</f>
        <v>0</v>
      </c>
      <c r="H953" s="212">
        <f>+F953*C953</f>
        <v>0</v>
      </c>
    </row>
    <row r="954" spans="2:8" hidden="1" outlineLevel="2" x14ac:dyDescent="0.25">
      <c r="B954" s="1" t="s">
        <v>351</v>
      </c>
      <c r="C954" s="191">
        <v>1683.57</v>
      </c>
      <c r="E954" s="211">
        <v>0</v>
      </c>
      <c r="F954" s="211">
        <v>0</v>
      </c>
      <c r="G954" s="212">
        <f>+E954*C954</f>
        <v>0</v>
      </c>
      <c r="H954" s="212">
        <f>+F954*C954</f>
        <v>0</v>
      </c>
    </row>
    <row r="955" spans="2:8" hidden="1" outlineLevel="2" x14ac:dyDescent="0.25">
      <c r="B955" s="1" t="s">
        <v>181</v>
      </c>
      <c r="C955" s="191">
        <v>3634.5</v>
      </c>
      <c r="E955" s="211">
        <v>0</v>
      </c>
      <c r="F955" s="211">
        <v>0</v>
      </c>
      <c r="G955" s="212">
        <f>+E955*C955</f>
        <v>0</v>
      </c>
      <c r="H955" s="212">
        <f>+F955*C955</f>
        <v>0</v>
      </c>
    </row>
    <row r="956" spans="2:8" hidden="1" outlineLevel="2" x14ac:dyDescent="0.25">
      <c r="B956" s="1" t="s">
        <v>352</v>
      </c>
      <c r="C956" s="191">
        <v>4115.76</v>
      </c>
      <c r="E956" s="211">
        <v>0</v>
      </c>
      <c r="F956" s="211">
        <v>0</v>
      </c>
      <c r="G956" s="212">
        <f>+E956*C956</f>
        <v>0</v>
      </c>
      <c r="H956" s="212">
        <f>+F956*C956</f>
        <v>0</v>
      </c>
    </row>
    <row r="957" spans="2:8" hidden="1" outlineLevel="2" x14ac:dyDescent="0.25">
      <c r="B957" s="1" t="s">
        <v>353</v>
      </c>
      <c r="C957" s="191">
        <v>6948.8</v>
      </c>
      <c r="E957" s="211">
        <v>0</v>
      </c>
      <c r="F957" s="211">
        <v>0</v>
      </c>
      <c r="G957" s="212">
        <f>+E957*C957</f>
        <v>0</v>
      </c>
      <c r="H957" s="212">
        <f>+F957*C957</f>
        <v>0</v>
      </c>
    </row>
    <row r="958" spans="2:8" hidden="1" outlineLevel="2" x14ac:dyDescent="0.25">
      <c r="B958" s="1" t="s">
        <v>354</v>
      </c>
      <c r="C958" s="191">
        <v>7983.2</v>
      </c>
      <c r="E958" s="211">
        <v>0</v>
      </c>
      <c r="F958" s="211">
        <v>0</v>
      </c>
      <c r="G958" s="212">
        <f>+E958*C958</f>
        <v>0</v>
      </c>
      <c r="H958" s="212">
        <f>+F958*C958</f>
        <v>0</v>
      </c>
    </row>
    <row r="959" spans="2:8" hidden="1" outlineLevel="2" x14ac:dyDescent="0.25">
      <c r="B959" s="1" t="s">
        <v>186</v>
      </c>
      <c r="C959" s="191">
        <v>17107.439999999999</v>
      </c>
      <c r="E959" s="211">
        <v>0</v>
      </c>
      <c r="F959" s="211">
        <v>0</v>
      </c>
      <c r="G959" s="212">
        <f>+E959*C959</f>
        <v>0</v>
      </c>
      <c r="H959" s="212">
        <f>+F959*C959</f>
        <v>0</v>
      </c>
    </row>
    <row r="960" spans="2:8" hidden="1" outlineLevel="2" x14ac:dyDescent="0.25">
      <c r="B960" s="1" t="s">
        <v>165</v>
      </c>
      <c r="C960" s="191">
        <v>3974.1</v>
      </c>
      <c r="E960" s="211">
        <v>0</v>
      </c>
      <c r="F960" s="211">
        <v>0</v>
      </c>
      <c r="G960" s="212">
        <f>+E960*C960</f>
        <v>0</v>
      </c>
      <c r="H960" s="212">
        <f>+F960*C960</f>
        <v>0</v>
      </c>
    </row>
    <row r="961" spans="2:8" hidden="1" outlineLevel="2" x14ac:dyDescent="0.25">
      <c r="B961" s="1" t="s">
        <v>187</v>
      </c>
      <c r="C961" s="191">
        <v>27590.82</v>
      </c>
      <c r="E961" s="211">
        <v>0</v>
      </c>
      <c r="F961" s="211">
        <v>0</v>
      </c>
      <c r="G961" s="212">
        <f>+E961*C961</f>
        <v>0</v>
      </c>
      <c r="H961" s="212">
        <f>+F961*C961</f>
        <v>0</v>
      </c>
    </row>
    <row r="962" spans="2:8" hidden="1" outlineLevel="2" x14ac:dyDescent="0.25">
      <c r="B962" s="1" t="s">
        <v>131</v>
      </c>
      <c r="C962" s="191">
        <v>2488.67</v>
      </c>
      <c r="E962" s="211">
        <v>0</v>
      </c>
      <c r="F962" s="211">
        <v>0</v>
      </c>
      <c r="G962" s="212">
        <f>+E962*C962</f>
        <v>0</v>
      </c>
      <c r="H962" s="212">
        <f>+F962*C962</f>
        <v>0</v>
      </c>
    </row>
    <row r="963" spans="2:8" hidden="1" outlineLevel="2" x14ac:dyDescent="0.25">
      <c r="B963" s="1" t="s">
        <v>166</v>
      </c>
      <c r="C963" s="191">
        <v>24031.53</v>
      </c>
      <c r="E963" s="211">
        <v>0</v>
      </c>
      <c r="F963" s="211">
        <v>0</v>
      </c>
      <c r="G963" s="212">
        <f>+E963*C963</f>
        <v>0</v>
      </c>
      <c r="H963" s="212">
        <f>+F963*C963</f>
        <v>0</v>
      </c>
    </row>
    <row r="964" spans="2:8" hidden="1" outlineLevel="2" x14ac:dyDescent="0.25">
      <c r="B964" s="1" t="s">
        <v>188</v>
      </c>
      <c r="C964" s="191">
        <v>2196.6999999999998</v>
      </c>
      <c r="E964" s="211">
        <v>0</v>
      </c>
      <c r="F964" s="211">
        <v>0</v>
      </c>
      <c r="G964" s="212">
        <f>+E964*C964</f>
        <v>0</v>
      </c>
      <c r="H964" s="212">
        <f>+F964*C964</f>
        <v>0</v>
      </c>
    </row>
    <row r="965" spans="2:8" hidden="1" outlineLevel="1" collapsed="1" x14ac:dyDescent="0.25">
      <c r="B965" s="207" t="s">
        <v>189</v>
      </c>
      <c r="C965" s="208">
        <v>90820.99</v>
      </c>
      <c r="E965" s="209"/>
      <c r="F965" s="209"/>
      <c r="G965" s="210"/>
      <c r="H965" s="210"/>
    </row>
    <row r="966" spans="2:8" hidden="1" outlineLevel="2" x14ac:dyDescent="0.25">
      <c r="B966" s="1" t="s">
        <v>138</v>
      </c>
      <c r="C966" s="191">
        <v>4464.6000000000004</v>
      </c>
      <c r="E966" s="211">
        <v>0</v>
      </c>
      <c r="F966" s="211">
        <v>0</v>
      </c>
      <c r="G966" s="212">
        <f>+E966*C966</f>
        <v>0</v>
      </c>
      <c r="H966" s="212">
        <f>+F966*C966</f>
        <v>0</v>
      </c>
    </row>
    <row r="967" spans="2:8" hidden="1" outlineLevel="2" x14ac:dyDescent="0.25">
      <c r="B967" s="1" t="s">
        <v>190</v>
      </c>
      <c r="C967" s="191">
        <v>14239.78</v>
      </c>
      <c r="E967" s="211">
        <v>0</v>
      </c>
      <c r="F967" s="211">
        <v>0</v>
      </c>
      <c r="G967" s="212">
        <f>+E967*C967</f>
        <v>0</v>
      </c>
      <c r="H967" s="212">
        <f>+F967*C967</f>
        <v>0</v>
      </c>
    </row>
    <row r="968" spans="2:8" hidden="1" outlineLevel="2" x14ac:dyDescent="0.25">
      <c r="B968" s="1" t="s">
        <v>355</v>
      </c>
      <c r="C968" s="191">
        <v>20649.03</v>
      </c>
      <c r="E968" s="211">
        <v>0</v>
      </c>
      <c r="F968" s="211">
        <v>0</v>
      </c>
      <c r="G968" s="212">
        <f>+E968*C968</f>
        <v>0</v>
      </c>
      <c r="H968" s="212">
        <f>+F968*C968</f>
        <v>0</v>
      </c>
    </row>
    <row r="969" spans="2:8" hidden="1" outlineLevel="2" x14ac:dyDescent="0.25">
      <c r="B969" s="1" t="s">
        <v>192</v>
      </c>
      <c r="C969" s="191">
        <v>4296.96</v>
      </c>
      <c r="E969" s="211">
        <v>0</v>
      </c>
      <c r="F969" s="211">
        <v>0</v>
      </c>
      <c r="G969" s="212">
        <f>+E969*C969</f>
        <v>0</v>
      </c>
      <c r="H969" s="212">
        <f>+F969*C969</f>
        <v>0</v>
      </c>
    </row>
    <row r="970" spans="2:8" hidden="1" outlineLevel="2" x14ac:dyDescent="0.25">
      <c r="B970" s="1" t="s">
        <v>356</v>
      </c>
      <c r="C970" s="191">
        <v>2318.3200000000002</v>
      </c>
      <c r="E970" s="211">
        <v>0</v>
      </c>
      <c r="F970" s="211">
        <v>0</v>
      </c>
      <c r="G970" s="212">
        <f>+E970*C970</f>
        <v>0</v>
      </c>
      <c r="H970" s="212">
        <f>+F970*C970</f>
        <v>0</v>
      </c>
    </row>
    <row r="971" spans="2:8" hidden="1" outlineLevel="2" x14ac:dyDescent="0.25">
      <c r="B971" s="1" t="s">
        <v>193</v>
      </c>
      <c r="C971" s="191">
        <v>5749.92</v>
      </c>
      <c r="E971" s="211">
        <v>0</v>
      </c>
      <c r="F971" s="211">
        <v>0</v>
      </c>
      <c r="G971" s="212">
        <f>+E971*C971</f>
        <v>0</v>
      </c>
      <c r="H971" s="212">
        <f>+F971*C971</f>
        <v>0</v>
      </c>
    </row>
    <row r="972" spans="2:8" hidden="1" outlineLevel="2" x14ac:dyDescent="0.25">
      <c r="B972" s="1" t="s">
        <v>357</v>
      </c>
      <c r="C972" s="191">
        <v>36613.71</v>
      </c>
      <c r="E972" s="211">
        <v>0</v>
      </c>
      <c r="F972" s="211">
        <v>0</v>
      </c>
      <c r="G972" s="212">
        <f>+E972*C972</f>
        <v>0</v>
      </c>
      <c r="H972" s="212">
        <f>+F972*C972</f>
        <v>0</v>
      </c>
    </row>
    <row r="973" spans="2:8" hidden="1" outlineLevel="2" x14ac:dyDescent="0.25">
      <c r="B973" s="1" t="s">
        <v>131</v>
      </c>
      <c r="C973" s="191">
        <v>2488.67</v>
      </c>
      <c r="E973" s="211">
        <v>0</v>
      </c>
      <c r="F973" s="211">
        <v>0</v>
      </c>
      <c r="G973" s="212">
        <f>+E973*C973</f>
        <v>0</v>
      </c>
      <c r="H973" s="212">
        <f>+F973*C973</f>
        <v>0</v>
      </c>
    </row>
    <row r="974" spans="2:8" hidden="1" outlineLevel="1" collapsed="1" x14ac:dyDescent="0.25">
      <c r="B974" s="207" t="s">
        <v>195</v>
      </c>
      <c r="C974" s="208">
        <v>7350.66</v>
      </c>
      <c r="E974" s="209"/>
      <c r="F974" s="209"/>
      <c r="G974" s="210"/>
      <c r="H974" s="210"/>
    </row>
    <row r="975" spans="2:8" hidden="1" outlineLevel="2" x14ac:dyDescent="0.25">
      <c r="B975" s="1" t="s">
        <v>196</v>
      </c>
      <c r="C975" s="191">
        <v>5509.8</v>
      </c>
      <c r="E975" s="211">
        <v>0</v>
      </c>
      <c r="F975" s="211">
        <v>0</v>
      </c>
      <c r="G975" s="212">
        <f>+E975*C975</f>
        <v>0</v>
      </c>
      <c r="H975" s="212">
        <f>+F975*C975</f>
        <v>0</v>
      </c>
    </row>
    <row r="976" spans="2:8" hidden="1" outlineLevel="2" x14ac:dyDescent="0.25">
      <c r="B976" s="1" t="s">
        <v>197</v>
      </c>
      <c r="C976" s="191">
        <v>1840.86</v>
      </c>
      <c r="E976" s="211">
        <v>0</v>
      </c>
      <c r="F976" s="211">
        <v>0</v>
      </c>
      <c r="G976" s="212">
        <f>+E976*C976</f>
        <v>0</v>
      </c>
      <c r="H976" s="212">
        <f>+F976*C976</f>
        <v>0</v>
      </c>
    </row>
    <row r="977" spans="2:8" hidden="1" outlineLevel="1" collapsed="1" x14ac:dyDescent="0.25">
      <c r="B977" s="207" t="s">
        <v>198</v>
      </c>
      <c r="C977" s="208">
        <v>25050.720000000001</v>
      </c>
      <c r="E977" s="209"/>
      <c r="F977" s="209"/>
      <c r="G977" s="210"/>
      <c r="H977" s="210"/>
    </row>
    <row r="978" spans="2:8" hidden="1" outlineLevel="2" x14ac:dyDescent="0.25">
      <c r="B978" s="1" t="s">
        <v>199</v>
      </c>
      <c r="C978" s="191">
        <v>3716.95</v>
      </c>
      <c r="E978" s="211">
        <v>0</v>
      </c>
      <c r="F978" s="211">
        <v>0</v>
      </c>
      <c r="G978" s="212">
        <f>+E978*C978</f>
        <v>0</v>
      </c>
      <c r="H978" s="212">
        <f>+F978*C978</f>
        <v>0</v>
      </c>
    </row>
    <row r="979" spans="2:8" hidden="1" outlineLevel="2" x14ac:dyDescent="0.25">
      <c r="B979" s="1" t="s">
        <v>200</v>
      </c>
      <c r="C979" s="191">
        <v>21333.77</v>
      </c>
      <c r="E979" s="211">
        <v>0</v>
      </c>
      <c r="F979" s="211">
        <v>0</v>
      </c>
      <c r="G979" s="212">
        <f>+E979*C979</f>
        <v>0</v>
      </c>
      <c r="H979" s="212">
        <f>+F979*C979</f>
        <v>0</v>
      </c>
    </row>
    <row r="980" spans="2:8" hidden="1" outlineLevel="1" collapsed="1" x14ac:dyDescent="0.25">
      <c r="B980" s="207" t="s">
        <v>201</v>
      </c>
      <c r="C980" s="208">
        <v>188894.05</v>
      </c>
      <c r="E980" s="209"/>
      <c r="F980" s="209"/>
      <c r="G980" s="210"/>
      <c r="H980" s="210"/>
    </row>
    <row r="981" spans="2:8" hidden="1" outlineLevel="2" x14ac:dyDescent="0.25">
      <c r="B981" s="1" t="s">
        <v>202</v>
      </c>
      <c r="C981" s="191">
        <v>2170.59</v>
      </c>
      <c r="E981" s="211">
        <v>0</v>
      </c>
      <c r="F981" s="211">
        <v>0</v>
      </c>
      <c r="G981" s="212">
        <f>+E981*C981</f>
        <v>0</v>
      </c>
      <c r="H981" s="212">
        <f>+F981*C981</f>
        <v>0</v>
      </c>
    </row>
    <row r="982" spans="2:8" hidden="1" outlineLevel="2" x14ac:dyDescent="0.25">
      <c r="B982" s="1" t="s">
        <v>358</v>
      </c>
      <c r="C982" s="191">
        <v>0</v>
      </c>
      <c r="E982" s="211">
        <v>0</v>
      </c>
      <c r="F982" s="211">
        <v>0</v>
      </c>
      <c r="G982" s="212">
        <f>+E982*C982</f>
        <v>0</v>
      </c>
      <c r="H982" s="212">
        <f>+F982*C982</f>
        <v>0</v>
      </c>
    </row>
    <row r="983" spans="2:8" hidden="1" outlineLevel="2" x14ac:dyDescent="0.25">
      <c r="B983" s="1" t="s">
        <v>359</v>
      </c>
      <c r="C983" s="191">
        <v>9159.15</v>
      </c>
      <c r="E983" s="211">
        <v>0</v>
      </c>
      <c r="F983" s="211">
        <v>0</v>
      </c>
      <c r="G983" s="212">
        <f>+E983*C983</f>
        <v>0</v>
      </c>
      <c r="H983" s="212">
        <f>+F983*C983</f>
        <v>0</v>
      </c>
    </row>
    <row r="984" spans="2:8" hidden="1" outlineLevel="2" x14ac:dyDescent="0.25">
      <c r="B984" s="1" t="s">
        <v>360</v>
      </c>
      <c r="C984" s="191">
        <v>6332.5</v>
      </c>
      <c r="E984" s="211">
        <v>0</v>
      </c>
      <c r="F984" s="211">
        <v>0</v>
      </c>
      <c r="G984" s="212">
        <f>+E984*C984</f>
        <v>0</v>
      </c>
      <c r="H984" s="212">
        <f>+F984*C984</f>
        <v>0</v>
      </c>
    </row>
    <row r="985" spans="2:8" hidden="1" outlineLevel="2" x14ac:dyDescent="0.25">
      <c r="B985" s="1" t="s">
        <v>361</v>
      </c>
      <c r="C985" s="191">
        <v>1656.86</v>
      </c>
      <c r="E985" s="211">
        <v>0</v>
      </c>
      <c r="F985" s="211">
        <v>0</v>
      </c>
      <c r="G985" s="212">
        <f>+E985*C985</f>
        <v>0</v>
      </c>
      <c r="H985" s="212">
        <f>+F985*C985</f>
        <v>0</v>
      </c>
    </row>
    <row r="986" spans="2:8" hidden="1" outlineLevel="2" x14ac:dyDescent="0.25">
      <c r="B986" s="1" t="s">
        <v>362</v>
      </c>
      <c r="C986" s="191">
        <v>261.52999999999997</v>
      </c>
      <c r="E986" s="211">
        <v>0</v>
      </c>
      <c r="F986" s="211">
        <v>0</v>
      </c>
      <c r="G986" s="212">
        <f>+E986*C986</f>
        <v>0</v>
      </c>
      <c r="H986" s="212">
        <f>+F986*C986</f>
        <v>0</v>
      </c>
    </row>
    <row r="987" spans="2:8" hidden="1" outlineLevel="2" x14ac:dyDescent="0.25">
      <c r="B987" s="1" t="s">
        <v>363</v>
      </c>
      <c r="C987" s="191">
        <v>1615.32</v>
      </c>
      <c r="E987" s="211">
        <v>0</v>
      </c>
      <c r="F987" s="211">
        <v>0</v>
      </c>
      <c r="G987" s="212">
        <f>+E987*C987</f>
        <v>0</v>
      </c>
      <c r="H987" s="212">
        <f>+F987*C987</f>
        <v>0</v>
      </c>
    </row>
    <row r="988" spans="2:8" hidden="1" outlineLevel="2" x14ac:dyDescent="0.25">
      <c r="B988" s="1" t="s">
        <v>203</v>
      </c>
      <c r="C988" s="191">
        <v>3892.35</v>
      </c>
      <c r="E988" s="211">
        <v>0</v>
      </c>
      <c r="F988" s="211">
        <v>0</v>
      </c>
      <c r="G988" s="212">
        <f>+E988*C988</f>
        <v>0</v>
      </c>
      <c r="H988" s="212">
        <f>+F988*C988</f>
        <v>0</v>
      </c>
    </row>
    <row r="989" spans="2:8" hidden="1" outlineLevel="2" x14ac:dyDescent="0.25">
      <c r="B989" s="1" t="s">
        <v>204</v>
      </c>
      <c r="C989" s="191">
        <v>103.26</v>
      </c>
      <c r="E989" s="211">
        <v>0</v>
      </c>
      <c r="F989" s="211">
        <v>0</v>
      </c>
      <c r="G989" s="212">
        <f>+E989*C989</f>
        <v>0</v>
      </c>
      <c r="H989" s="212">
        <f>+F989*C989</f>
        <v>0</v>
      </c>
    </row>
    <row r="990" spans="2:8" hidden="1" outlineLevel="2" x14ac:dyDescent="0.25">
      <c r="B990" s="1" t="s">
        <v>205</v>
      </c>
      <c r="C990" s="191">
        <v>2300.16</v>
      </c>
      <c r="E990" s="211">
        <v>0</v>
      </c>
      <c r="F990" s="211">
        <v>0</v>
      </c>
      <c r="G990" s="212">
        <f>+E990*C990</f>
        <v>0</v>
      </c>
      <c r="H990" s="212">
        <f>+F990*C990</f>
        <v>0</v>
      </c>
    </row>
    <row r="991" spans="2:8" hidden="1" outlineLevel="2" x14ac:dyDescent="0.25">
      <c r="B991" s="1" t="s">
        <v>206</v>
      </c>
      <c r="C991" s="191">
        <v>697.01</v>
      </c>
      <c r="E991" s="211">
        <v>0</v>
      </c>
      <c r="F991" s="211">
        <v>0</v>
      </c>
      <c r="G991" s="212">
        <f>+E991*C991</f>
        <v>0</v>
      </c>
      <c r="H991" s="212">
        <f>+F991*C991</f>
        <v>0</v>
      </c>
    </row>
    <row r="992" spans="2:8" hidden="1" outlineLevel="2" x14ac:dyDescent="0.25">
      <c r="B992" s="1" t="s">
        <v>121</v>
      </c>
      <c r="C992" s="191">
        <v>574.99</v>
      </c>
      <c r="E992" s="211">
        <v>0</v>
      </c>
      <c r="F992" s="211">
        <v>0</v>
      </c>
      <c r="G992" s="212">
        <f>+E992*C992</f>
        <v>0</v>
      </c>
      <c r="H992" s="212">
        <f>+F992*C992</f>
        <v>0</v>
      </c>
    </row>
    <row r="993" spans="2:8" hidden="1" outlineLevel="2" x14ac:dyDescent="0.25">
      <c r="B993" s="1" t="s">
        <v>207</v>
      </c>
      <c r="C993" s="191">
        <v>4001.07</v>
      </c>
      <c r="E993" s="211">
        <v>0</v>
      </c>
      <c r="F993" s="211">
        <v>0</v>
      </c>
      <c r="G993" s="212">
        <f>+E993*C993</f>
        <v>0</v>
      </c>
      <c r="H993" s="212">
        <f>+F993*C993</f>
        <v>0</v>
      </c>
    </row>
    <row r="994" spans="2:8" hidden="1" outlineLevel="2" x14ac:dyDescent="0.25">
      <c r="B994" s="1" t="s">
        <v>208</v>
      </c>
      <c r="C994" s="191">
        <v>582.16999999999996</v>
      </c>
      <c r="E994" s="211">
        <v>0</v>
      </c>
      <c r="F994" s="211">
        <v>0</v>
      </c>
      <c r="G994" s="212">
        <f>+E994*C994</f>
        <v>0</v>
      </c>
      <c r="H994" s="212">
        <f>+F994*C994</f>
        <v>0</v>
      </c>
    </row>
    <row r="995" spans="2:8" hidden="1" outlineLevel="2" x14ac:dyDescent="0.25">
      <c r="B995" s="1" t="s">
        <v>124</v>
      </c>
      <c r="C995" s="191">
        <v>574.99</v>
      </c>
      <c r="E995" s="211">
        <v>0</v>
      </c>
      <c r="F995" s="211">
        <v>0</v>
      </c>
      <c r="G995" s="212">
        <f>+E995*C995</f>
        <v>0</v>
      </c>
      <c r="H995" s="212">
        <f>+F995*C995</f>
        <v>0</v>
      </c>
    </row>
    <row r="996" spans="2:8" hidden="1" outlineLevel="2" x14ac:dyDescent="0.25">
      <c r="B996" s="1" t="s">
        <v>209</v>
      </c>
      <c r="C996" s="191">
        <v>5038.08</v>
      </c>
      <c r="E996" s="211">
        <v>0</v>
      </c>
      <c r="F996" s="211">
        <v>0</v>
      </c>
      <c r="G996" s="212">
        <f>+E996*C996</f>
        <v>0</v>
      </c>
      <c r="H996" s="212">
        <f>+F996*C996</f>
        <v>0</v>
      </c>
    </row>
    <row r="997" spans="2:8" hidden="1" outlineLevel="2" x14ac:dyDescent="0.25">
      <c r="B997" s="1" t="s">
        <v>210</v>
      </c>
      <c r="C997" s="191">
        <v>19232.099999999999</v>
      </c>
      <c r="E997" s="211">
        <v>0</v>
      </c>
      <c r="F997" s="211">
        <v>0</v>
      </c>
      <c r="G997" s="212">
        <f>+E997*C997</f>
        <v>0</v>
      </c>
      <c r="H997" s="212">
        <f>+F997*C997</f>
        <v>0</v>
      </c>
    </row>
    <row r="998" spans="2:8" hidden="1" outlineLevel="2" x14ac:dyDescent="0.25">
      <c r="B998" s="1" t="s">
        <v>131</v>
      </c>
      <c r="C998" s="191">
        <v>961.86</v>
      </c>
      <c r="E998" s="211">
        <v>0</v>
      </c>
      <c r="F998" s="211">
        <v>0</v>
      </c>
      <c r="G998" s="212">
        <f>+E998*C998</f>
        <v>0</v>
      </c>
      <c r="H998" s="212">
        <f>+F998*C998</f>
        <v>0</v>
      </c>
    </row>
    <row r="999" spans="2:8" hidden="1" outlineLevel="2" x14ac:dyDescent="0.25">
      <c r="B999" s="1" t="s">
        <v>211</v>
      </c>
      <c r="C999" s="191">
        <v>34476.089999999997</v>
      </c>
      <c r="E999" s="211">
        <v>0</v>
      </c>
      <c r="F999" s="211">
        <v>0</v>
      </c>
      <c r="G999" s="212">
        <f>+E999*C999</f>
        <v>0</v>
      </c>
      <c r="H999" s="212">
        <f>+F999*C999</f>
        <v>0</v>
      </c>
    </row>
    <row r="1000" spans="2:8" hidden="1" outlineLevel="2" x14ac:dyDescent="0.25">
      <c r="B1000" s="1" t="s">
        <v>212</v>
      </c>
      <c r="C1000" s="191">
        <v>7984.25</v>
      </c>
      <c r="E1000" s="211">
        <v>0</v>
      </c>
      <c r="F1000" s="211">
        <v>0</v>
      </c>
      <c r="G1000" s="212">
        <f>+E1000*C1000</f>
        <v>0</v>
      </c>
      <c r="H1000" s="212">
        <f>+F1000*C1000</f>
        <v>0</v>
      </c>
    </row>
    <row r="1001" spans="2:8" hidden="1" outlineLevel="2" x14ac:dyDescent="0.25">
      <c r="B1001" s="1" t="s">
        <v>131</v>
      </c>
      <c r="C1001" s="191">
        <v>399.32</v>
      </c>
      <c r="E1001" s="211">
        <v>0</v>
      </c>
      <c r="F1001" s="211">
        <v>0</v>
      </c>
      <c r="G1001" s="212">
        <f>+E1001*C1001</f>
        <v>0</v>
      </c>
      <c r="H1001" s="212">
        <f>+F1001*C1001</f>
        <v>0</v>
      </c>
    </row>
    <row r="1002" spans="2:8" hidden="1" outlineLevel="2" x14ac:dyDescent="0.25">
      <c r="B1002" s="1" t="s">
        <v>213</v>
      </c>
      <c r="C1002" s="191">
        <v>742.91</v>
      </c>
      <c r="E1002" s="211">
        <v>0</v>
      </c>
      <c r="F1002" s="211">
        <v>0</v>
      </c>
      <c r="G1002" s="212">
        <f>+E1002*C1002</f>
        <v>0</v>
      </c>
      <c r="H1002" s="212">
        <f>+F1002*C1002</f>
        <v>0</v>
      </c>
    </row>
    <row r="1003" spans="2:8" hidden="1" outlineLevel="2" x14ac:dyDescent="0.25">
      <c r="B1003" s="1" t="s">
        <v>214</v>
      </c>
      <c r="C1003" s="191">
        <v>9692.98</v>
      </c>
      <c r="E1003" s="211">
        <v>0</v>
      </c>
      <c r="F1003" s="211">
        <v>0</v>
      </c>
      <c r="G1003" s="212">
        <f>+E1003*C1003</f>
        <v>0</v>
      </c>
      <c r="H1003" s="212">
        <f>+F1003*C1003</f>
        <v>0</v>
      </c>
    </row>
    <row r="1004" spans="2:8" hidden="1" outlineLevel="2" x14ac:dyDescent="0.25">
      <c r="B1004" s="1" t="s">
        <v>364</v>
      </c>
      <c r="C1004" s="191">
        <v>29626.57</v>
      </c>
      <c r="E1004" s="211">
        <v>0</v>
      </c>
      <c r="F1004" s="211">
        <v>0</v>
      </c>
      <c r="G1004" s="212">
        <f>+E1004*C1004</f>
        <v>0</v>
      </c>
      <c r="H1004" s="212">
        <f>+F1004*C1004</f>
        <v>0</v>
      </c>
    </row>
    <row r="1005" spans="2:8" hidden="1" outlineLevel="2" x14ac:dyDescent="0.25">
      <c r="B1005" s="1" t="s">
        <v>365</v>
      </c>
      <c r="C1005" s="191">
        <v>33171.08</v>
      </c>
      <c r="E1005" s="211">
        <v>0</v>
      </c>
      <c r="F1005" s="211">
        <v>0</v>
      </c>
      <c r="G1005" s="212">
        <f>+E1005*C1005</f>
        <v>0</v>
      </c>
      <c r="H1005" s="212">
        <f>+F1005*C1005</f>
        <v>0</v>
      </c>
    </row>
    <row r="1006" spans="2:8" hidden="1" outlineLevel="2" x14ac:dyDescent="0.25">
      <c r="B1006" s="1" t="s">
        <v>366</v>
      </c>
      <c r="C1006" s="191">
        <v>13646.86</v>
      </c>
      <c r="E1006" s="211">
        <v>0</v>
      </c>
      <c r="F1006" s="211">
        <v>0</v>
      </c>
      <c r="G1006" s="212">
        <f>+E1006*C1006</f>
        <v>0</v>
      </c>
      <c r="H1006" s="212">
        <f>+F1006*C1006</f>
        <v>0</v>
      </c>
    </row>
    <row r="1007" spans="2:8" hidden="1" outlineLevel="1" collapsed="1" x14ac:dyDescent="0.25">
      <c r="B1007" s="207" t="s">
        <v>216</v>
      </c>
      <c r="C1007" s="208">
        <v>166532.97</v>
      </c>
      <c r="E1007" s="209"/>
      <c r="F1007" s="209"/>
      <c r="G1007" s="210"/>
      <c r="H1007" s="210"/>
    </row>
    <row r="1008" spans="2:8" hidden="1" outlineLevel="2" x14ac:dyDescent="0.25">
      <c r="B1008" s="1" t="s">
        <v>217</v>
      </c>
      <c r="C1008" s="191">
        <v>64808.09</v>
      </c>
      <c r="E1008" s="211">
        <v>0</v>
      </c>
      <c r="F1008" s="211">
        <v>0</v>
      </c>
      <c r="G1008" s="212">
        <f>+E1008*C1008</f>
        <v>0</v>
      </c>
      <c r="H1008" s="212">
        <f>+F1008*C1008</f>
        <v>0</v>
      </c>
    </row>
    <row r="1009" spans="2:8" hidden="1" outlineLevel="2" x14ac:dyDescent="0.25">
      <c r="B1009" s="1" t="s">
        <v>218</v>
      </c>
      <c r="C1009" s="191">
        <v>38790.660000000003</v>
      </c>
      <c r="E1009" s="211">
        <v>0</v>
      </c>
      <c r="F1009" s="211">
        <v>0</v>
      </c>
      <c r="G1009" s="212">
        <f>+E1009*C1009</f>
        <v>0</v>
      </c>
      <c r="H1009" s="212">
        <f>+F1009*C1009</f>
        <v>0</v>
      </c>
    </row>
    <row r="1010" spans="2:8" hidden="1" outlineLevel="2" x14ac:dyDescent="0.25">
      <c r="B1010" s="1" t="s">
        <v>219</v>
      </c>
      <c r="C1010" s="191">
        <v>22861.3</v>
      </c>
      <c r="E1010" s="211">
        <v>0</v>
      </c>
      <c r="F1010" s="211">
        <v>0</v>
      </c>
      <c r="G1010" s="212">
        <f>+E1010*C1010</f>
        <v>0</v>
      </c>
      <c r="H1010" s="212">
        <f>+F1010*C1010</f>
        <v>0</v>
      </c>
    </row>
    <row r="1011" spans="2:8" hidden="1" outlineLevel="2" x14ac:dyDescent="0.25">
      <c r="B1011" s="1" t="s">
        <v>220</v>
      </c>
      <c r="C1011" s="191">
        <v>3311.24</v>
      </c>
      <c r="E1011" s="211">
        <v>0</v>
      </c>
      <c r="F1011" s="211">
        <v>0</v>
      </c>
      <c r="G1011" s="212">
        <f>+E1011*C1011</f>
        <v>0</v>
      </c>
      <c r="H1011" s="212">
        <f>+F1011*C1011</f>
        <v>0</v>
      </c>
    </row>
    <row r="1012" spans="2:8" hidden="1" outlineLevel="2" x14ac:dyDescent="0.25">
      <c r="B1012" s="1" t="s">
        <v>367</v>
      </c>
      <c r="C1012" s="191">
        <v>17500.990000000002</v>
      </c>
      <c r="E1012" s="211">
        <v>0</v>
      </c>
      <c r="F1012" s="211">
        <v>0</v>
      </c>
      <c r="G1012" s="212">
        <f>+E1012*C1012</f>
        <v>0</v>
      </c>
      <c r="H1012" s="212">
        <f>+F1012*C1012</f>
        <v>0</v>
      </c>
    </row>
    <row r="1013" spans="2:8" hidden="1" outlineLevel="2" x14ac:dyDescent="0.25">
      <c r="B1013" s="1" t="s">
        <v>368</v>
      </c>
      <c r="C1013" s="191">
        <v>12951.73</v>
      </c>
      <c r="E1013" s="211">
        <v>0</v>
      </c>
      <c r="F1013" s="211">
        <v>0</v>
      </c>
      <c r="G1013" s="212">
        <f>+E1013*C1013</f>
        <v>0</v>
      </c>
      <c r="H1013" s="212">
        <f>+F1013*C1013</f>
        <v>0</v>
      </c>
    </row>
    <row r="1014" spans="2:8" hidden="1" outlineLevel="2" x14ac:dyDescent="0.25">
      <c r="B1014" s="1" t="s">
        <v>369</v>
      </c>
      <c r="C1014" s="191">
        <v>3589.26</v>
      </c>
      <c r="E1014" s="211">
        <v>0</v>
      </c>
      <c r="F1014" s="211">
        <v>0</v>
      </c>
      <c r="G1014" s="212">
        <f>+E1014*C1014</f>
        <v>0</v>
      </c>
      <c r="H1014" s="212">
        <f>+F1014*C1014</f>
        <v>0</v>
      </c>
    </row>
    <row r="1015" spans="2:8" hidden="1" outlineLevel="2" x14ac:dyDescent="0.25">
      <c r="B1015" s="1" t="s">
        <v>370</v>
      </c>
      <c r="C1015" s="191">
        <v>2719.7</v>
      </c>
      <c r="E1015" s="211">
        <v>0</v>
      </c>
      <c r="F1015" s="211">
        <v>0</v>
      </c>
      <c r="G1015" s="212">
        <f>+E1015*C1015</f>
        <v>0</v>
      </c>
      <c r="H1015" s="212">
        <f>+F1015*C1015</f>
        <v>0</v>
      </c>
    </row>
    <row r="1016" spans="2:8" hidden="1" outlineLevel="1" collapsed="1" x14ac:dyDescent="0.25">
      <c r="B1016" s="207" t="s">
        <v>221</v>
      </c>
      <c r="C1016" s="208">
        <v>211896.68</v>
      </c>
      <c r="E1016" s="209"/>
      <c r="F1016" s="209"/>
      <c r="G1016" s="210"/>
      <c r="H1016" s="210"/>
    </row>
    <row r="1017" spans="2:8" hidden="1" outlineLevel="2" x14ac:dyDescent="0.25">
      <c r="B1017" s="1" t="s">
        <v>222</v>
      </c>
      <c r="C1017" s="191">
        <v>101452.75</v>
      </c>
      <c r="E1017" s="211">
        <v>0</v>
      </c>
      <c r="F1017" s="211">
        <v>0</v>
      </c>
      <c r="G1017" s="212">
        <f>+E1017*C1017</f>
        <v>0</v>
      </c>
      <c r="H1017" s="212">
        <f>+F1017*C1017</f>
        <v>0</v>
      </c>
    </row>
    <row r="1018" spans="2:8" hidden="1" outlineLevel="2" x14ac:dyDescent="0.25">
      <c r="B1018" s="1" t="s">
        <v>371</v>
      </c>
      <c r="C1018" s="191">
        <v>5107.7700000000004</v>
      </c>
      <c r="E1018" s="211">
        <v>0</v>
      </c>
      <c r="F1018" s="211">
        <v>0</v>
      </c>
      <c r="G1018" s="212">
        <f>+E1018*C1018</f>
        <v>0</v>
      </c>
      <c r="H1018" s="212">
        <f>+F1018*C1018</f>
        <v>0</v>
      </c>
    </row>
    <row r="1019" spans="2:8" hidden="1" outlineLevel="2" x14ac:dyDescent="0.25">
      <c r="B1019" s="1" t="s">
        <v>372</v>
      </c>
      <c r="C1019" s="191">
        <v>36924.78</v>
      </c>
      <c r="E1019" s="211">
        <v>0</v>
      </c>
      <c r="F1019" s="211">
        <v>0</v>
      </c>
      <c r="G1019" s="212">
        <f>+E1019*C1019</f>
        <v>0</v>
      </c>
      <c r="H1019" s="212">
        <f>+F1019*C1019</f>
        <v>0</v>
      </c>
    </row>
    <row r="1020" spans="2:8" hidden="1" outlineLevel="2" x14ac:dyDescent="0.25">
      <c r="B1020" s="1" t="s">
        <v>373</v>
      </c>
      <c r="C1020" s="191">
        <v>6597.05</v>
      </c>
      <c r="E1020" s="211">
        <v>0</v>
      </c>
      <c r="F1020" s="211">
        <v>0</v>
      </c>
      <c r="G1020" s="212">
        <f>+E1020*C1020</f>
        <v>0</v>
      </c>
      <c r="H1020" s="212">
        <f>+F1020*C1020</f>
        <v>0</v>
      </c>
    </row>
    <row r="1021" spans="2:8" hidden="1" outlineLevel="2" x14ac:dyDescent="0.25">
      <c r="B1021" s="1" t="s">
        <v>374</v>
      </c>
      <c r="C1021" s="191">
        <v>15889.99</v>
      </c>
      <c r="E1021" s="211">
        <v>0</v>
      </c>
      <c r="F1021" s="211">
        <v>0</v>
      </c>
      <c r="G1021" s="212">
        <f>+E1021*C1021</f>
        <v>0</v>
      </c>
      <c r="H1021" s="212">
        <f>+F1021*C1021</f>
        <v>0</v>
      </c>
    </row>
    <row r="1022" spans="2:8" hidden="1" outlineLevel="2" x14ac:dyDescent="0.25">
      <c r="B1022" s="1" t="s">
        <v>225</v>
      </c>
      <c r="C1022" s="191">
        <v>35433.1</v>
      </c>
      <c r="E1022" s="211">
        <v>0</v>
      </c>
      <c r="F1022" s="211">
        <v>0</v>
      </c>
      <c r="G1022" s="212">
        <f>+E1022*C1022</f>
        <v>0</v>
      </c>
      <c r="H1022" s="212">
        <f>+F1022*C1022</f>
        <v>0</v>
      </c>
    </row>
    <row r="1023" spans="2:8" hidden="1" outlineLevel="2" x14ac:dyDescent="0.25">
      <c r="B1023" s="1" t="s">
        <v>227</v>
      </c>
      <c r="C1023" s="191">
        <v>10491.24</v>
      </c>
      <c r="E1023" s="211">
        <v>0</v>
      </c>
      <c r="F1023" s="211">
        <v>0</v>
      </c>
      <c r="G1023" s="212">
        <f>+E1023*C1023</f>
        <v>0</v>
      </c>
      <c r="H1023" s="212">
        <f>+F1023*C1023</f>
        <v>0</v>
      </c>
    </row>
    <row r="1024" spans="2:8" hidden="1" outlineLevel="1" collapsed="1" x14ac:dyDescent="0.25">
      <c r="B1024" s="207" t="s">
        <v>228</v>
      </c>
      <c r="C1024" s="208">
        <v>128336.19</v>
      </c>
      <c r="E1024" s="209"/>
      <c r="F1024" s="209"/>
      <c r="G1024" s="210"/>
      <c r="H1024" s="210"/>
    </row>
    <row r="1025" spans="2:8" hidden="1" outlineLevel="2" x14ac:dyDescent="0.25">
      <c r="B1025" s="1" t="s">
        <v>229</v>
      </c>
      <c r="C1025" s="191">
        <v>79508.289999999994</v>
      </c>
      <c r="E1025" s="211">
        <v>0</v>
      </c>
      <c r="F1025" s="211">
        <v>0</v>
      </c>
      <c r="G1025" s="212">
        <f>+E1025*C1025</f>
        <v>0</v>
      </c>
      <c r="H1025" s="212">
        <f>+F1025*C1025</f>
        <v>0</v>
      </c>
    </row>
    <row r="1026" spans="2:8" hidden="1" outlineLevel="2" x14ac:dyDescent="0.25">
      <c r="B1026" s="1" t="s">
        <v>375</v>
      </c>
      <c r="C1026" s="191">
        <v>66315.990000000005</v>
      </c>
      <c r="E1026" s="211">
        <v>0</v>
      </c>
      <c r="F1026" s="211">
        <v>0</v>
      </c>
      <c r="G1026" s="212">
        <f>+E1026*C1026</f>
        <v>0</v>
      </c>
      <c r="H1026" s="212">
        <f>+F1026*C1026</f>
        <v>0</v>
      </c>
    </row>
    <row r="1027" spans="2:8" hidden="1" outlineLevel="2" x14ac:dyDescent="0.25">
      <c r="B1027" s="1" t="s">
        <v>376</v>
      </c>
      <c r="C1027" s="191">
        <v>13192.3</v>
      </c>
      <c r="E1027" s="211">
        <v>0</v>
      </c>
      <c r="F1027" s="211">
        <v>0</v>
      </c>
      <c r="G1027" s="212">
        <f>+E1027*C1027</f>
        <v>0</v>
      </c>
      <c r="H1027" s="212">
        <f>+F1027*C1027</f>
        <v>0</v>
      </c>
    </row>
    <row r="1028" spans="2:8" hidden="1" outlineLevel="2" x14ac:dyDescent="0.25">
      <c r="B1028" s="1" t="s">
        <v>377</v>
      </c>
      <c r="C1028" s="191">
        <v>11266.24</v>
      </c>
      <c r="E1028" s="211">
        <v>0</v>
      </c>
      <c r="F1028" s="211">
        <v>0</v>
      </c>
      <c r="G1028" s="212">
        <f>+E1028*C1028</f>
        <v>0</v>
      </c>
      <c r="H1028" s="212">
        <f>+F1028*C1028</f>
        <v>0</v>
      </c>
    </row>
    <row r="1029" spans="2:8" hidden="1" outlineLevel="2" x14ac:dyDescent="0.25">
      <c r="B1029" s="1" t="s">
        <v>378</v>
      </c>
      <c r="C1029" s="191">
        <v>11266.24</v>
      </c>
      <c r="E1029" s="211">
        <v>0</v>
      </c>
      <c r="F1029" s="211">
        <v>0</v>
      </c>
      <c r="G1029" s="212">
        <f>+E1029*C1029</f>
        <v>0</v>
      </c>
      <c r="H1029" s="212">
        <f>+F1029*C1029</f>
        <v>0</v>
      </c>
    </row>
    <row r="1030" spans="2:8" hidden="1" outlineLevel="2" x14ac:dyDescent="0.25">
      <c r="B1030" s="1" t="s">
        <v>232</v>
      </c>
      <c r="C1030" s="191">
        <v>34400.620000000003</v>
      </c>
      <c r="E1030" s="211">
        <v>0</v>
      </c>
      <c r="F1030" s="211">
        <v>0</v>
      </c>
      <c r="G1030" s="212">
        <f>+E1030*C1030</f>
        <v>0</v>
      </c>
      <c r="H1030" s="212">
        <f>+F1030*C1030</f>
        <v>0</v>
      </c>
    </row>
    <row r="1031" spans="2:8" hidden="1" outlineLevel="2" x14ac:dyDescent="0.25">
      <c r="B1031" s="1" t="s">
        <v>379</v>
      </c>
      <c r="C1031" s="191">
        <v>15685.85</v>
      </c>
      <c r="E1031" s="211">
        <v>0</v>
      </c>
      <c r="F1031" s="211">
        <v>0</v>
      </c>
      <c r="G1031" s="212">
        <f>+E1031*C1031</f>
        <v>0</v>
      </c>
      <c r="H1031" s="212">
        <f>+F1031*C1031</f>
        <v>0</v>
      </c>
    </row>
    <row r="1032" spans="2:8" hidden="1" outlineLevel="2" x14ac:dyDescent="0.25">
      <c r="B1032" s="1" t="s">
        <v>234</v>
      </c>
      <c r="C1032" s="191">
        <v>844.6</v>
      </c>
      <c r="E1032" s="211">
        <v>0</v>
      </c>
      <c r="F1032" s="211">
        <v>0</v>
      </c>
      <c r="G1032" s="212">
        <f>+E1032*C1032</f>
        <v>0</v>
      </c>
      <c r="H1032" s="212">
        <f>+F1032*C1032</f>
        <v>0</v>
      </c>
    </row>
    <row r="1033" spans="2:8" hidden="1" outlineLevel="2" x14ac:dyDescent="0.25">
      <c r="B1033" s="1" t="s">
        <v>380</v>
      </c>
      <c r="C1033" s="191">
        <v>2869.85</v>
      </c>
      <c r="E1033" s="211">
        <v>0</v>
      </c>
      <c r="F1033" s="211">
        <v>0</v>
      </c>
      <c r="G1033" s="212">
        <f>+E1033*C1033</f>
        <v>0</v>
      </c>
      <c r="H1033" s="212">
        <f>+F1033*C1033</f>
        <v>0</v>
      </c>
    </row>
    <row r="1034" spans="2:8" hidden="1" outlineLevel="2" x14ac:dyDescent="0.25">
      <c r="B1034" s="1" t="s">
        <v>376</v>
      </c>
      <c r="C1034" s="191">
        <v>3126.61</v>
      </c>
      <c r="E1034" s="211">
        <v>0</v>
      </c>
      <c r="F1034" s="211">
        <v>0</v>
      </c>
      <c r="G1034" s="212">
        <f>+E1034*C1034</f>
        <v>0</v>
      </c>
      <c r="H1034" s="212">
        <f>+F1034*C1034</f>
        <v>0</v>
      </c>
    </row>
    <row r="1035" spans="2:8" hidden="1" outlineLevel="2" x14ac:dyDescent="0.25">
      <c r="B1035" s="1" t="s">
        <v>375</v>
      </c>
      <c r="C1035" s="191">
        <v>6617.83</v>
      </c>
      <c r="E1035" s="211">
        <v>0</v>
      </c>
      <c r="F1035" s="211">
        <v>0</v>
      </c>
      <c r="G1035" s="212">
        <f>+E1035*C1035</f>
        <v>0</v>
      </c>
      <c r="H1035" s="212">
        <f>+F1035*C1035</f>
        <v>0</v>
      </c>
    </row>
    <row r="1036" spans="2:8" hidden="1" outlineLevel="2" x14ac:dyDescent="0.25">
      <c r="B1036" s="1" t="s">
        <v>236</v>
      </c>
      <c r="C1036" s="191">
        <v>2474.7399999999998</v>
      </c>
      <c r="E1036" s="211">
        <v>0</v>
      </c>
      <c r="F1036" s="211">
        <v>0</v>
      </c>
      <c r="G1036" s="212">
        <f>+E1036*C1036</f>
        <v>0</v>
      </c>
      <c r="H1036" s="212">
        <f>+F1036*C1036</f>
        <v>0</v>
      </c>
    </row>
    <row r="1037" spans="2:8" hidden="1" outlineLevel="2" x14ac:dyDescent="0.25">
      <c r="B1037" s="1" t="s">
        <v>237</v>
      </c>
      <c r="C1037" s="191">
        <v>2781.14</v>
      </c>
      <c r="E1037" s="211">
        <v>0</v>
      </c>
      <c r="F1037" s="211">
        <v>0</v>
      </c>
      <c r="G1037" s="212">
        <f>+E1037*C1037</f>
        <v>0</v>
      </c>
      <c r="H1037" s="212">
        <f>+F1037*C1037</f>
        <v>0</v>
      </c>
    </row>
    <row r="1038" spans="2:8" hidden="1" outlineLevel="2" x14ac:dyDescent="0.25">
      <c r="B1038" s="1" t="s">
        <v>63</v>
      </c>
      <c r="C1038" s="191">
        <v>3161.04</v>
      </c>
      <c r="E1038" s="211">
        <v>0</v>
      </c>
      <c r="F1038" s="211">
        <v>0</v>
      </c>
      <c r="G1038" s="212">
        <f>+E1038*C1038</f>
        <v>0</v>
      </c>
      <c r="H1038" s="212">
        <f>+F1038*C1038</f>
        <v>0</v>
      </c>
    </row>
    <row r="1039" spans="2:8" hidden="1" outlineLevel="2" x14ac:dyDescent="0.25">
      <c r="B1039" s="1" t="s">
        <v>375</v>
      </c>
      <c r="C1039" s="191">
        <v>3161.04</v>
      </c>
      <c r="E1039" s="211">
        <v>0</v>
      </c>
      <c r="F1039" s="211">
        <v>0</v>
      </c>
      <c r="G1039" s="212">
        <f>+E1039*C1039</f>
        <v>0</v>
      </c>
      <c r="H1039" s="212">
        <f>+F1039*C1039</f>
        <v>0</v>
      </c>
    </row>
    <row r="1040" spans="2:8" hidden="1" outlineLevel="2" x14ac:dyDescent="0.25">
      <c r="B1040" s="1" t="s">
        <v>376</v>
      </c>
      <c r="C1040" s="191">
        <v>0</v>
      </c>
      <c r="E1040" s="211">
        <v>0</v>
      </c>
      <c r="F1040" s="211">
        <v>0</v>
      </c>
      <c r="G1040" s="212">
        <f>+E1040*C1040</f>
        <v>0</v>
      </c>
      <c r="H1040" s="212">
        <f>+F1040*C1040</f>
        <v>0</v>
      </c>
    </row>
    <row r="1041" spans="2:8" hidden="1" outlineLevel="1" collapsed="1" x14ac:dyDescent="0.25">
      <c r="B1041" s="207" t="s">
        <v>238</v>
      </c>
      <c r="C1041" s="208">
        <v>883.4</v>
      </c>
      <c r="E1041" s="209"/>
      <c r="F1041" s="209"/>
      <c r="G1041" s="210"/>
      <c r="H1041" s="210"/>
    </row>
    <row r="1042" spans="2:8" hidden="1" outlineLevel="2" x14ac:dyDescent="0.25">
      <c r="B1042" s="1" t="s">
        <v>239</v>
      </c>
      <c r="C1042" s="191">
        <v>883.4</v>
      </c>
      <c r="E1042" s="211">
        <v>0</v>
      </c>
      <c r="F1042" s="211">
        <v>0</v>
      </c>
      <c r="G1042" s="212">
        <f>+E1042*C1042</f>
        <v>0</v>
      </c>
      <c r="H1042" s="212">
        <f>+F1042*C1042</f>
        <v>0</v>
      </c>
    </row>
    <row r="1043" spans="2:8" hidden="1" outlineLevel="1" collapsed="1" x14ac:dyDescent="0.25">
      <c r="B1043" s="207" t="s">
        <v>240</v>
      </c>
      <c r="C1043" s="208">
        <v>7349.8</v>
      </c>
      <c r="E1043" s="209"/>
      <c r="F1043" s="209"/>
      <c r="G1043" s="210"/>
      <c r="H1043" s="210"/>
    </row>
    <row r="1044" spans="2:8" hidden="1" outlineLevel="2" x14ac:dyDescent="0.25">
      <c r="B1044" s="1" t="s">
        <v>241</v>
      </c>
      <c r="C1044" s="191">
        <v>5509.8</v>
      </c>
      <c r="E1044" s="211">
        <v>0</v>
      </c>
      <c r="F1044" s="211">
        <v>0</v>
      </c>
      <c r="G1044" s="212">
        <f>+E1044*C1044</f>
        <v>0</v>
      </c>
      <c r="H1044" s="212">
        <f>+F1044*C1044</f>
        <v>0</v>
      </c>
    </row>
    <row r="1045" spans="2:8" hidden="1" outlineLevel="2" x14ac:dyDescent="0.25">
      <c r="B1045" s="1" t="s">
        <v>242</v>
      </c>
      <c r="C1045" s="191">
        <v>1840</v>
      </c>
      <c r="E1045" s="211">
        <v>0</v>
      </c>
      <c r="F1045" s="211">
        <v>0</v>
      </c>
      <c r="G1045" s="212">
        <f>+E1045*C1045</f>
        <v>0</v>
      </c>
      <c r="H1045" s="212">
        <f>+F1045*C1045</f>
        <v>0</v>
      </c>
    </row>
    <row r="1046" spans="2:8" hidden="1" outlineLevel="1" collapsed="1" x14ac:dyDescent="0.25">
      <c r="B1046" s="207" t="s">
        <v>243</v>
      </c>
      <c r="C1046" s="208">
        <v>154174.9</v>
      </c>
      <c r="E1046" s="209"/>
      <c r="F1046" s="209"/>
      <c r="G1046" s="210"/>
      <c r="H1046" s="210"/>
    </row>
    <row r="1047" spans="2:8" hidden="1" outlineLevel="2" x14ac:dyDescent="0.25">
      <c r="B1047" s="1" t="s">
        <v>381</v>
      </c>
      <c r="C1047" s="191">
        <v>21475.95</v>
      </c>
      <c r="E1047" s="211">
        <v>0</v>
      </c>
      <c r="F1047" s="211">
        <v>0</v>
      </c>
      <c r="G1047" s="212">
        <f>+E1047*C1047</f>
        <v>0</v>
      </c>
      <c r="H1047" s="212">
        <f>+F1047*C1047</f>
        <v>0</v>
      </c>
    </row>
    <row r="1048" spans="2:8" hidden="1" outlineLevel="2" x14ac:dyDescent="0.25">
      <c r="B1048" s="1" t="s">
        <v>382</v>
      </c>
      <c r="C1048" s="191">
        <v>13840.06</v>
      </c>
      <c r="E1048" s="211">
        <v>0</v>
      </c>
      <c r="F1048" s="211">
        <v>0</v>
      </c>
      <c r="G1048" s="212">
        <f>+E1048*C1048</f>
        <v>0</v>
      </c>
      <c r="H1048" s="212">
        <f>+F1048*C1048</f>
        <v>0</v>
      </c>
    </row>
    <row r="1049" spans="2:8" hidden="1" outlineLevel="2" x14ac:dyDescent="0.25">
      <c r="B1049" s="1" t="s">
        <v>383</v>
      </c>
      <c r="C1049" s="191">
        <v>1145.3800000000001</v>
      </c>
      <c r="E1049" s="211">
        <v>0</v>
      </c>
      <c r="F1049" s="211">
        <v>0</v>
      </c>
      <c r="G1049" s="212">
        <f>+E1049*C1049</f>
        <v>0</v>
      </c>
      <c r="H1049" s="212">
        <f>+F1049*C1049</f>
        <v>0</v>
      </c>
    </row>
    <row r="1050" spans="2:8" hidden="1" outlineLevel="2" x14ac:dyDescent="0.25">
      <c r="B1050" s="1" t="s">
        <v>384</v>
      </c>
      <c r="C1050" s="191">
        <v>3817.95</v>
      </c>
      <c r="E1050" s="211">
        <v>0</v>
      </c>
      <c r="F1050" s="211">
        <v>0</v>
      </c>
      <c r="G1050" s="212">
        <f>+E1050*C1050</f>
        <v>0</v>
      </c>
      <c r="H1050" s="212">
        <f>+F1050*C1050</f>
        <v>0</v>
      </c>
    </row>
    <row r="1051" spans="2:8" hidden="1" outlineLevel="2" x14ac:dyDescent="0.25">
      <c r="B1051" s="1" t="s">
        <v>385</v>
      </c>
      <c r="C1051" s="191">
        <v>16703.52</v>
      </c>
      <c r="E1051" s="211">
        <v>0</v>
      </c>
      <c r="F1051" s="211">
        <v>0</v>
      </c>
      <c r="G1051" s="212">
        <f>+E1051*C1051</f>
        <v>0</v>
      </c>
      <c r="H1051" s="212">
        <f>+F1051*C1051</f>
        <v>0</v>
      </c>
    </row>
    <row r="1052" spans="2:8" hidden="1" outlineLevel="2" x14ac:dyDescent="0.25">
      <c r="B1052" s="1" t="s">
        <v>386</v>
      </c>
      <c r="C1052" s="191">
        <v>12885.57</v>
      </c>
      <c r="E1052" s="211">
        <v>0</v>
      </c>
      <c r="F1052" s="211">
        <v>0</v>
      </c>
      <c r="G1052" s="212">
        <f>+E1052*C1052</f>
        <v>0</v>
      </c>
      <c r="H1052" s="212">
        <f>+F1052*C1052</f>
        <v>0</v>
      </c>
    </row>
    <row r="1053" spans="2:8" hidden="1" outlineLevel="2" x14ac:dyDescent="0.25">
      <c r="B1053" s="1" t="s">
        <v>387</v>
      </c>
      <c r="C1053" s="191">
        <v>32070.75</v>
      </c>
      <c r="E1053" s="211">
        <v>0</v>
      </c>
      <c r="F1053" s="211">
        <v>0</v>
      </c>
      <c r="G1053" s="212">
        <f>+E1053*C1053</f>
        <v>0</v>
      </c>
      <c r="H1053" s="212">
        <f>+F1053*C1053</f>
        <v>0</v>
      </c>
    </row>
    <row r="1054" spans="2:8" hidden="1" outlineLevel="2" x14ac:dyDescent="0.25">
      <c r="B1054" s="1" t="s">
        <v>388</v>
      </c>
      <c r="C1054" s="191">
        <v>7254.1</v>
      </c>
      <c r="E1054" s="211">
        <v>0</v>
      </c>
      <c r="F1054" s="211">
        <v>0</v>
      </c>
      <c r="G1054" s="212">
        <f>+E1054*C1054</f>
        <v>0</v>
      </c>
      <c r="H1054" s="212">
        <f>+F1054*C1054</f>
        <v>0</v>
      </c>
    </row>
    <row r="1055" spans="2:8" hidden="1" outlineLevel="2" x14ac:dyDescent="0.25">
      <c r="B1055" s="1" t="s">
        <v>389</v>
      </c>
      <c r="C1055" s="191">
        <v>38656.71</v>
      </c>
      <c r="E1055" s="211">
        <v>0</v>
      </c>
      <c r="F1055" s="211">
        <v>0</v>
      </c>
      <c r="G1055" s="212">
        <f>+E1055*C1055</f>
        <v>0</v>
      </c>
      <c r="H1055" s="212">
        <f>+F1055*C1055</f>
        <v>0</v>
      </c>
    </row>
    <row r="1056" spans="2:8" hidden="1" outlineLevel="2" x14ac:dyDescent="0.25">
      <c r="B1056" s="1" t="s">
        <v>390</v>
      </c>
      <c r="C1056" s="191">
        <v>6324.91</v>
      </c>
      <c r="E1056" s="211">
        <v>0</v>
      </c>
      <c r="F1056" s="211">
        <v>0</v>
      </c>
      <c r="G1056" s="212">
        <f>+E1056*C1056</f>
        <v>0</v>
      </c>
      <c r="H1056" s="212">
        <f>+F1056*C1056</f>
        <v>0</v>
      </c>
    </row>
    <row r="1057" spans="2:8" hidden="1" outlineLevel="1" collapsed="1" x14ac:dyDescent="0.25">
      <c r="B1057" s="207" t="s">
        <v>250</v>
      </c>
      <c r="C1057" s="208">
        <v>49448.68</v>
      </c>
      <c r="E1057" s="209"/>
      <c r="F1057" s="209"/>
      <c r="G1057" s="210"/>
      <c r="H1057" s="210"/>
    </row>
    <row r="1058" spans="2:8" hidden="1" outlineLevel="2" x14ac:dyDescent="0.25">
      <c r="B1058" s="1" t="s">
        <v>251</v>
      </c>
      <c r="C1058" s="191">
        <v>15449.35</v>
      </c>
      <c r="E1058" s="211">
        <v>0</v>
      </c>
      <c r="F1058" s="211">
        <v>0</v>
      </c>
      <c r="G1058" s="212">
        <f>+E1058*C1058</f>
        <v>0</v>
      </c>
      <c r="H1058" s="212">
        <f>+F1058*C1058</f>
        <v>0</v>
      </c>
    </row>
    <row r="1059" spans="2:8" hidden="1" outlineLevel="2" x14ac:dyDescent="0.25">
      <c r="B1059" s="1" t="s">
        <v>391</v>
      </c>
      <c r="C1059" s="191">
        <v>3869.74</v>
      </c>
      <c r="E1059" s="211">
        <v>0</v>
      </c>
      <c r="F1059" s="211">
        <v>0</v>
      </c>
      <c r="G1059" s="212">
        <f>+E1059*C1059</f>
        <v>0</v>
      </c>
      <c r="H1059" s="212">
        <f>+F1059*C1059</f>
        <v>0</v>
      </c>
    </row>
    <row r="1060" spans="2:8" hidden="1" outlineLevel="2" x14ac:dyDescent="0.25">
      <c r="B1060" s="1" t="s">
        <v>253</v>
      </c>
      <c r="C1060" s="191">
        <v>14719.8</v>
      </c>
      <c r="E1060" s="211">
        <v>0</v>
      </c>
      <c r="F1060" s="211">
        <v>0</v>
      </c>
      <c r="G1060" s="212">
        <f>+E1060*C1060</f>
        <v>0</v>
      </c>
      <c r="H1060" s="212">
        <f>+F1060*C1060</f>
        <v>0</v>
      </c>
    </row>
    <row r="1061" spans="2:8" hidden="1" outlineLevel="2" x14ac:dyDescent="0.25">
      <c r="B1061" s="1" t="s">
        <v>252</v>
      </c>
      <c r="C1061" s="191">
        <v>7359.9</v>
      </c>
      <c r="E1061" s="211">
        <v>0</v>
      </c>
      <c r="F1061" s="211">
        <v>0</v>
      </c>
      <c r="G1061" s="212">
        <f>+E1061*C1061</f>
        <v>0</v>
      </c>
      <c r="H1061" s="212">
        <f>+F1061*C1061</f>
        <v>0</v>
      </c>
    </row>
    <row r="1062" spans="2:8" hidden="1" outlineLevel="2" x14ac:dyDescent="0.25">
      <c r="B1062" s="1" t="s">
        <v>392</v>
      </c>
      <c r="C1062" s="191">
        <v>8049.89</v>
      </c>
      <c r="E1062" s="211">
        <v>0</v>
      </c>
      <c r="F1062" s="211">
        <v>0</v>
      </c>
      <c r="G1062" s="212">
        <f>+E1062*C1062</f>
        <v>0</v>
      </c>
      <c r="H1062" s="212">
        <f>+F1062*C1062</f>
        <v>0</v>
      </c>
    </row>
    <row r="1063" spans="2:8" hidden="1" outlineLevel="1" collapsed="1" x14ac:dyDescent="0.25">
      <c r="B1063" s="207" t="s">
        <v>393</v>
      </c>
      <c r="C1063" s="208">
        <v>108723.59</v>
      </c>
      <c r="E1063" s="209"/>
      <c r="F1063" s="209"/>
      <c r="G1063" s="210"/>
      <c r="H1063" s="210"/>
    </row>
    <row r="1064" spans="2:8" hidden="1" outlineLevel="2" x14ac:dyDescent="0.25">
      <c r="B1064" s="1" t="s">
        <v>394</v>
      </c>
      <c r="C1064" s="191">
        <v>30552.76</v>
      </c>
      <c r="E1064" s="211">
        <v>0</v>
      </c>
      <c r="F1064" s="211">
        <v>0</v>
      </c>
      <c r="G1064" s="212">
        <f>+E1064*C1064</f>
        <v>0</v>
      </c>
      <c r="H1064" s="212">
        <f>+F1064*C1064</f>
        <v>0</v>
      </c>
    </row>
    <row r="1065" spans="2:8" hidden="1" outlineLevel="2" x14ac:dyDescent="0.25">
      <c r="B1065" s="1" t="s">
        <v>395</v>
      </c>
      <c r="C1065" s="191">
        <v>38702.99</v>
      </c>
      <c r="E1065" s="211">
        <v>0</v>
      </c>
      <c r="F1065" s="211">
        <v>0</v>
      </c>
      <c r="G1065" s="212">
        <f>+E1065*C1065</f>
        <v>0</v>
      </c>
      <c r="H1065" s="212">
        <f>+F1065*C1065</f>
        <v>0</v>
      </c>
    </row>
    <row r="1066" spans="2:8" hidden="1" outlineLevel="2" x14ac:dyDescent="0.25">
      <c r="B1066" s="1" t="s">
        <v>396</v>
      </c>
      <c r="C1066" s="191">
        <v>18629.740000000002</v>
      </c>
      <c r="E1066" s="211">
        <v>0</v>
      </c>
      <c r="F1066" s="211">
        <v>0</v>
      </c>
      <c r="G1066" s="212">
        <f>+E1066*C1066</f>
        <v>0</v>
      </c>
      <c r="H1066" s="212">
        <f>+F1066*C1066</f>
        <v>0</v>
      </c>
    </row>
    <row r="1067" spans="2:8" hidden="1" outlineLevel="2" x14ac:dyDescent="0.25">
      <c r="B1067" s="1" t="s">
        <v>397</v>
      </c>
      <c r="C1067" s="191">
        <v>9290.0300000000007</v>
      </c>
      <c r="E1067" s="211">
        <v>0</v>
      </c>
      <c r="F1067" s="211">
        <v>0</v>
      </c>
      <c r="G1067" s="212">
        <f>+E1067*C1067</f>
        <v>0</v>
      </c>
      <c r="H1067" s="212">
        <f>+F1067*C1067</f>
        <v>0</v>
      </c>
    </row>
    <row r="1068" spans="2:8" hidden="1" outlineLevel="2" x14ac:dyDescent="0.25">
      <c r="B1068" s="1" t="s">
        <v>398</v>
      </c>
      <c r="C1068" s="191">
        <v>6899.9</v>
      </c>
      <c r="E1068" s="211">
        <v>0</v>
      </c>
      <c r="F1068" s="211">
        <v>0</v>
      </c>
      <c r="G1068" s="212">
        <f>+E1068*C1068</f>
        <v>0</v>
      </c>
      <c r="H1068" s="212">
        <f>+F1068*C1068</f>
        <v>0</v>
      </c>
    </row>
    <row r="1069" spans="2:8" hidden="1" outlineLevel="2" x14ac:dyDescent="0.25">
      <c r="B1069" s="1" t="s">
        <v>399</v>
      </c>
      <c r="C1069" s="191">
        <v>748.28</v>
      </c>
      <c r="E1069" s="211">
        <v>0</v>
      </c>
      <c r="F1069" s="211">
        <v>0</v>
      </c>
      <c r="G1069" s="212">
        <f>+E1069*C1069</f>
        <v>0</v>
      </c>
      <c r="H1069" s="212">
        <f>+F1069*C1069</f>
        <v>0</v>
      </c>
    </row>
    <row r="1070" spans="2:8" hidden="1" outlineLevel="2" x14ac:dyDescent="0.25">
      <c r="B1070" s="1" t="s">
        <v>400</v>
      </c>
      <c r="C1070" s="191">
        <v>1519.88</v>
      </c>
      <c r="E1070" s="211">
        <v>0</v>
      </c>
      <c r="F1070" s="211">
        <v>0</v>
      </c>
      <c r="G1070" s="212">
        <f>+E1070*C1070</f>
        <v>0</v>
      </c>
      <c r="H1070" s="212">
        <f>+F1070*C1070</f>
        <v>0</v>
      </c>
    </row>
    <row r="1071" spans="2:8" hidden="1" outlineLevel="2" x14ac:dyDescent="0.25">
      <c r="B1071" s="1" t="s">
        <v>401</v>
      </c>
      <c r="C1071" s="191">
        <v>2380.0100000000002</v>
      </c>
      <c r="E1071" s="211">
        <v>0</v>
      </c>
      <c r="F1071" s="211">
        <v>0</v>
      </c>
      <c r="G1071" s="212">
        <f>+E1071*C1071</f>
        <v>0</v>
      </c>
      <c r="H1071" s="212">
        <f>+F1071*C1071</f>
        <v>0</v>
      </c>
    </row>
    <row r="1072" spans="2:8" hidden="1" outlineLevel="1" collapsed="1" x14ac:dyDescent="0.25">
      <c r="B1072" s="207" t="s">
        <v>255</v>
      </c>
      <c r="C1072" s="208">
        <v>104124.45</v>
      </c>
      <c r="E1072" s="209"/>
      <c r="F1072" s="209"/>
      <c r="G1072" s="210"/>
      <c r="H1072" s="210"/>
    </row>
    <row r="1073" spans="2:8" hidden="1" outlineLevel="2" x14ac:dyDescent="0.25">
      <c r="B1073" s="1" t="s">
        <v>256</v>
      </c>
      <c r="C1073" s="191">
        <v>12127.73</v>
      </c>
      <c r="E1073" s="211">
        <v>0</v>
      </c>
      <c r="F1073" s="211">
        <v>0</v>
      </c>
      <c r="G1073" s="212">
        <f>+E1073*C1073</f>
        <v>0</v>
      </c>
      <c r="H1073" s="212">
        <f>+F1073*C1073</f>
        <v>0</v>
      </c>
    </row>
    <row r="1074" spans="2:8" hidden="1" outlineLevel="2" x14ac:dyDescent="0.25">
      <c r="B1074" s="1" t="s">
        <v>258</v>
      </c>
      <c r="C1074" s="191">
        <v>3363.66</v>
      </c>
      <c r="E1074" s="211">
        <v>0</v>
      </c>
      <c r="F1074" s="211">
        <v>0</v>
      </c>
      <c r="G1074" s="212">
        <f>+E1074*C1074</f>
        <v>0</v>
      </c>
      <c r="H1074" s="212">
        <f>+F1074*C1074</f>
        <v>0</v>
      </c>
    </row>
    <row r="1075" spans="2:8" hidden="1" outlineLevel="2" x14ac:dyDescent="0.25">
      <c r="B1075" s="1" t="s">
        <v>259</v>
      </c>
      <c r="C1075" s="191">
        <v>1950.38</v>
      </c>
      <c r="E1075" s="211">
        <v>0</v>
      </c>
      <c r="F1075" s="211">
        <v>0</v>
      </c>
      <c r="G1075" s="212">
        <f>+E1075*C1075</f>
        <v>0</v>
      </c>
      <c r="H1075" s="212">
        <f>+F1075*C1075</f>
        <v>0</v>
      </c>
    </row>
    <row r="1076" spans="2:8" hidden="1" outlineLevel="2" x14ac:dyDescent="0.25">
      <c r="B1076" s="1" t="s">
        <v>260</v>
      </c>
      <c r="C1076" s="191">
        <v>6835.52</v>
      </c>
      <c r="E1076" s="211">
        <v>0</v>
      </c>
      <c r="F1076" s="211">
        <v>0</v>
      </c>
      <c r="G1076" s="212">
        <f>+E1076*C1076</f>
        <v>0</v>
      </c>
      <c r="H1076" s="212">
        <f>+F1076*C1076</f>
        <v>0</v>
      </c>
    </row>
    <row r="1077" spans="2:8" hidden="1" outlineLevel="2" x14ac:dyDescent="0.25">
      <c r="B1077" s="1" t="s">
        <v>262</v>
      </c>
      <c r="C1077" s="191">
        <v>4973.84</v>
      </c>
      <c r="E1077" s="211">
        <v>0</v>
      </c>
      <c r="F1077" s="211">
        <v>0</v>
      </c>
      <c r="G1077" s="212">
        <f>+E1077*C1077</f>
        <v>0</v>
      </c>
      <c r="H1077" s="212">
        <f>+F1077*C1077</f>
        <v>0</v>
      </c>
    </row>
    <row r="1078" spans="2:8" hidden="1" outlineLevel="2" x14ac:dyDescent="0.25">
      <c r="B1078" s="1" t="s">
        <v>263</v>
      </c>
      <c r="C1078" s="191">
        <v>7460.76</v>
      </c>
      <c r="E1078" s="211">
        <v>0</v>
      </c>
      <c r="F1078" s="211">
        <v>0</v>
      </c>
      <c r="G1078" s="212">
        <f>+E1078*C1078</f>
        <v>0</v>
      </c>
      <c r="H1078" s="212">
        <f>+F1078*C1078</f>
        <v>0</v>
      </c>
    </row>
    <row r="1079" spans="2:8" hidden="1" outlineLevel="2" x14ac:dyDescent="0.25">
      <c r="B1079" s="1" t="s">
        <v>264</v>
      </c>
      <c r="C1079" s="191">
        <v>27397.71</v>
      </c>
      <c r="E1079" s="211">
        <v>0</v>
      </c>
      <c r="F1079" s="211">
        <v>0</v>
      </c>
      <c r="G1079" s="212">
        <f>+E1079*C1079</f>
        <v>0</v>
      </c>
      <c r="H1079" s="212">
        <f>+F1079*C1079</f>
        <v>0</v>
      </c>
    </row>
    <row r="1080" spans="2:8" hidden="1" outlineLevel="2" x14ac:dyDescent="0.25">
      <c r="B1080" s="1" t="s">
        <v>402</v>
      </c>
      <c r="C1080" s="191">
        <v>3461.84</v>
      </c>
      <c r="E1080" s="211">
        <v>0</v>
      </c>
      <c r="F1080" s="211">
        <v>0</v>
      </c>
      <c r="G1080" s="212">
        <f>+E1080*C1080</f>
        <v>0</v>
      </c>
      <c r="H1080" s="212">
        <f>+F1080*C1080</f>
        <v>0</v>
      </c>
    </row>
    <row r="1081" spans="2:8" hidden="1" outlineLevel="2" x14ac:dyDescent="0.25">
      <c r="B1081" s="1" t="s">
        <v>266</v>
      </c>
      <c r="C1081" s="191">
        <v>3911.4</v>
      </c>
      <c r="E1081" s="211">
        <v>0</v>
      </c>
      <c r="F1081" s="211">
        <v>0</v>
      </c>
      <c r="G1081" s="212">
        <f>+E1081*C1081</f>
        <v>0</v>
      </c>
      <c r="H1081" s="212">
        <f>+F1081*C1081</f>
        <v>0</v>
      </c>
    </row>
    <row r="1082" spans="2:8" hidden="1" outlineLevel="2" x14ac:dyDescent="0.25">
      <c r="B1082" s="1" t="s">
        <v>267</v>
      </c>
      <c r="C1082" s="191">
        <v>20762.55</v>
      </c>
      <c r="E1082" s="211">
        <v>0</v>
      </c>
      <c r="F1082" s="211">
        <v>0</v>
      </c>
      <c r="G1082" s="212">
        <f>+E1082*C1082</f>
        <v>0</v>
      </c>
      <c r="H1082" s="212">
        <f>+F1082*C1082</f>
        <v>0</v>
      </c>
    </row>
    <row r="1083" spans="2:8" hidden="1" outlineLevel="2" x14ac:dyDescent="0.25">
      <c r="B1083" s="1" t="s">
        <v>268</v>
      </c>
      <c r="C1083" s="191">
        <v>2863.8</v>
      </c>
      <c r="E1083" s="211">
        <v>0</v>
      </c>
      <c r="F1083" s="211">
        <v>0</v>
      </c>
      <c r="G1083" s="212">
        <f>+E1083*C1083</f>
        <v>0</v>
      </c>
      <c r="H1083" s="212">
        <f>+F1083*C1083</f>
        <v>0</v>
      </c>
    </row>
    <row r="1084" spans="2:8" hidden="1" outlineLevel="2" x14ac:dyDescent="0.25">
      <c r="B1084" s="1" t="s">
        <v>269</v>
      </c>
      <c r="C1084" s="191">
        <v>3432.1</v>
      </c>
      <c r="E1084" s="211">
        <v>0</v>
      </c>
      <c r="F1084" s="211">
        <v>0</v>
      </c>
      <c r="G1084" s="212">
        <f>+E1084*C1084</f>
        <v>0</v>
      </c>
      <c r="H1084" s="212">
        <f>+F1084*C1084</f>
        <v>0</v>
      </c>
    </row>
    <row r="1085" spans="2:8" hidden="1" outlineLevel="2" x14ac:dyDescent="0.25">
      <c r="B1085" s="1" t="s">
        <v>270</v>
      </c>
      <c r="C1085" s="191">
        <v>1908.96</v>
      </c>
      <c r="E1085" s="211">
        <v>0</v>
      </c>
      <c r="F1085" s="211">
        <v>0</v>
      </c>
      <c r="G1085" s="212">
        <f>+E1085*C1085</f>
        <v>0</v>
      </c>
      <c r="H1085" s="212">
        <f>+F1085*C1085</f>
        <v>0</v>
      </c>
    </row>
    <row r="1086" spans="2:8" hidden="1" outlineLevel="2" x14ac:dyDescent="0.25">
      <c r="B1086" s="1" t="s">
        <v>271</v>
      </c>
      <c r="C1086" s="191">
        <v>3674.2</v>
      </c>
      <c r="E1086" s="211">
        <v>0</v>
      </c>
      <c r="F1086" s="211">
        <v>0</v>
      </c>
      <c r="G1086" s="212">
        <f>+E1086*C1086</f>
        <v>0</v>
      </c>
      <c r="H1086" s="212">
        <f>+F1086*C1086</f>
        <v>0</v>
      </c>
    </row>
    <row r="1087" spans="2:8" hidden="1" outlineLevel="1" collapsed="1" x14ac:dyDescent="0.25">
      <c r="B1087" s="207" t="s">
        <v>273</v>
      </c>
      <c r="C1087" s="208">
        <v>60690.93</v>
      </c>
      <c r="E1087" s="209"/>
      <c r="F1087" s="209"/>
      <c r="G1087" s="210"/>
      <c r="H1087" s="210"/>
    </row>
    <row r="1088" spans="2:8" hidden="1" outlineLevel="2" x14ac:dyDescent="0.25">
      <c r="B1088" s="1" t="s">
        <v>403</v>
      </c>
      <c r="C1088" s="191">
        <v>5970.02</v>
      </c>
      <c r="E1088" s="211">
        <v>0</v>
      </c>
      <c r="F1088" s="211">
        <v>0</v>
      </c>
      <c r="G1088" s="212">
        <f>+E1088*C1088</f>
        <v>0</v>
      </c>
      <c r="H1088" s="212">
        <f>+F1088*C1088</f>
        <v>0</v>
      </c>
    </row>
    <row r="1089" spans="2:8" hidden="1" outlineLevel="2" x14ac:dyDescent="0.25">
      <c r="B1089" s="1" t="s">
        <v>404</v>
      </c>
      <c r="C1089" s="191">
        <v>3607.47</v>
      </c>
      <c r="E1089" s="211">
        <v>0</v>
      </c>
      <c r="F1089" s="211">
        <v>0</v>
      </c>
      <c r="G1089" s="212">
        <f>+E1089*C1089</f>
        <v>0</v>
      </c>
      <c r="H1089" s="212">
        <f>+F1089*C1089</f>
        <v>0</v>
      </c>
    </row>
    <row r="1090" spans="2:8" hidden="1" outlineLevel="2" x14ac:dyDescent="0.25">
      <c r="B1090" s="1" t="s">
        <v>405</v>
      </c>
      <c r="C1090" s="191">
        <v>7359.88</v>
      </c>
      <c r="E1090" s="211">
        <v>0</v>
      </c>
      <c r="F1090" s="211">
        <v>0</v>
      </c>
      <c r="G1090" s="212">
        <f>+E1090*C1090</f>
        <v>0</v>
      </c>
      <c r="H1090" s="212">
        <f>+F1090*C1090</f>
        <v>0</v>
      </c>
    </row>
    <row r="1091" spans="2:8" hidden="1" outlineLevel="2" x14ac:dyDescent="0.25">
      <c r="B1091" s="1" t="s">
        <v>275</v>
      </c>
      <c r="C1091" s="191">
        <v>1322.48</v>
      </c>
      <c r="E1091" s="211">
        <v>0</v>
      </c>
      <c r="F1091" s="211">
        <v>0</v>
      </c>
      <c r="G1091" s="212">
        <f>+E1091*C1091</f>
        <v>0</v>
      </c>
      <c r="H1091" s="212">
        <f>+F1091*C1091</f>
        <v>0</v>
      </c>
    </row>
    <row r="1092" spans="2:8" hidden="1" outlineLevel="2" x14ac:dyDescent="0.25">
      <c r="B1092" s="1" t="s">
        <v>276</v>
      </c>
      <c r="C1092" s="191">
        <v>786.65</v>
      </c>
      <c r="E1092" s="211">
        <v>0</v>
      </c>
      <c r="F1092" s="211">
        <v>0</v>
      </c>
      <c r="G1092" s="212">
        <f>+E1092*C1092</f>
        <v>0</v>
      </c>
      <c r="H1092" s="212">
        <f>+F1092*C1092</f>
        <v>0</v>
      </c>
    </row>
    <row r="1093" spans="2:8" hidden="1" outlineLevel="2" x14ac:dyDescent="0.25">
      <c r="B1093" s="1" t="s">
        <v>277</v>
      </c>
      <c r="C1093" s="191">
        <v>1545.82</v>
      </c>
      <c r="E1093" s="211">
        <v>0</v>
      </c>
      <c r="F1093" s="211">
        <v>0</v>
      </c>
      <c r="G1093" s="212">
        <f>+E1093*C1093</f>
        <v>0</v>
      </c>
      <c r="H1093" s="212">
        <f>+F1093*C1093</f>
        <v>0</v>
      </c>
    </row>
    <row r="1094" spans="2:8" hidden="1" outlineLevel="2" x14ac:dyDescent="0.25">
      <c r="B1094" s="1" t="s">
        <v>278</v>
      </c>
      <c r="C1094" s="191">
        <v>431.48</v>
      </c>
      <c r="E1094" s="211">
        <v>0</v>
      </c>
      <c r="F1094" s="211">
        <v>0</v>
      </c>
      <c r="G1094" s="212">
        <f>+E1094*C1094</f>
        <v>0</v>
      </c>
      <c r="H1094" s="212">
        <f>+F1094*C1094</f>
        <v>0</v>
      </c>
    </row>
    <row r="1095" spans="2:8" hidden="1" outlineLevel="2" x14ac:dyDescent="0.25">
      <c r="B1095" s="1" t="s">
        <v>279</v>
      </c>
      <c r="C1095" s="191">
        <v>4637.46</v>
      </c>
      <c r="E1095" s="211">
        <v>0</v>
      </c>
      <c r="F1095" s="211">
        <v>0</v>
      </c>
      <c r="G1095" s="212">
        <f>+E1095*C1095</f>
        <v>0</v>
      </c>
      <c r="H1095" s="212">
        <f>+F1095*C1095</f>
        <v>0</v>
      </c>
    </row>
    <row r="1096" spans="2:8" hidden="1" outlineLevel="2" x14ac:dyDescent="0.25">
      <c r="B1096" s="1" t="s">
        <v>280</v>
      </c>
      <c r="C1096" s="191">
        <v>0</v>
      </c>
      <c r="E1096" s="211">
        <v>0</v>
      </c>
      <c r="F1096" s="211">
        <v>0</v>
      </c>
      <c r="G1096" s="212">
        <f>+E1096*C1096</f>
        <v>0</v>
      </c>
      <c r="H1096" s="212">
        <f>+F1096*C1096</f>
        <v>0</v>
      </c>
    </row>
    <row r="1097" spans="2:8" hidden="1" outlineLevel="2" x14ac:dyDescent="0.25">
      <c r="B1097" s="1" t="s">
        <v>281</v>
      </c>
      <c r="C1097" s="191">
        <v>1865.46</v>
      </c>
      <c r="E1097" s="211">
        <v>0</v>
      </c>
      <c r="F1097" s="211">
        <v>0</v>
      </c>
      <c r="G1097" s="212">
        <f>+E1097*C1097</f>
        <v>0</v>
      </c>
      <c r="H1097" s="212">
        <f>+F1097*C1097</f>
        <v>0</v>
      </c>
    </row>
    <row r="1098" spans="2:8" hidden="1" outlineLevel="2" x14ac:dyDescent="0.25">
      <c r="B1098" s="1" t="s">
        <v>282</v>
      </c>
      <c r="C1098" s="191">
        <v>711.4</v>
      </c>
      <c r="E1098" s="211">
        <v>0</v>
      </c>
      <c r="F1098" s="211">
        <v>0</v>
      </c>
      <c r="G1098" s="212">
        <f>+E1098*C1098</f>
        <v>0</v>
      </c>
      <c r="H1098" s="212">
        <f>+F1098*C1098</f>
        <v>0</v>
      </c>
    </row>
    <row r="1099" spans="2:8" hidden="1" outlineLevel="2" x14ac:dyDescent="0.25">
      <c r="B1099" s="1" t="s">
        <v>283</v>
      </c>
      <c r="C1099" s="191">
        <v>564.32000000000005</v>
      </c>
      <c r="E1099" s="211">
        <v>0</v>
      </c>
      <c r="F1099" s="211">
        <v>0</v>
      </c>
      <c r="G1099" s="212">
        <f>+E1099*C1099</f>
        <v>0</v>
      </c>
      <c r="H1099" s="212">
        <f>+F1099*C1099</f>
        <v>0</v>
      </c>
    </row>
    <row r="1100" spans="2:8" hidden="1" outlineLevel="2" x14ac:dyDescent="0.25">
      <c r="B1100" s="1" t="s">
        <v>284</v>
      </c>
      <c r="C1100" s="191">
        <v>1422.8</v>
      </c>
      <c r="E1100" s="211">
        <v>0</v>
      </c>
      <c r="F1100" s="211">
        <v>0</v>
      </c>
      <c r="G1100" s="212">
        <f>+E1100*C1100</f>
        <v>0</v>
      </c>
      <c r="H1100" s="212">
        <f>+F1100*C1100</f>
        <v>0</v>
      </c>
    </row>
    <row r="1101" spans="2:8" hidden="1" outlineLevel="2" x14ac:dyDescent="0.25">
      <c r="B1101" s="1" t="s">
        <v>285</v>
      </c>
      <c r="C1101" s="191">
        <v>564.32000000000005</v>
      </c>
      <c r="E1101" s="211">
        <v>0</v>
      </c>
      <c r="F1101" s="211">
        <v>0</v>
      </c>
      <c r="G1101" s="212">
        <f>+E1101*C1101</f>
        <v>0</v>
      </c>
      <c r="H1101" s="212">
        <f>+F1101*C1101</f>
        <v>0</v>
      </c>
    </row>
    <row r="1102" spans="2:8" hidden="1" outlineLevel="2" x14ac:dyDescent="0.25">
      <c r="B1102" s="1" t="s">
        <v>286</v>
      </c>
      <c r="C1102" s="191">
        <v>2845.6</v>
      </c>
      <c r="E1102" s="211">
        <v>0</v>
      </c>
      <c r="F1102" s="211">
        <v>0</v>
      </c>
      <c r="G1102" s="212">
        <f>+E1102*C1102</f>
        <v>0</v>
      </c>
      <c r="H1102" s="212">
        <f>+F1102*C1102</f>
        <v>0</v>
      </c>
    </row>
    <row r="1103" spans="2:8" hidden="1" outlineLevel="2" x14ac:dyDescent="0.25">
      <c r="B1103" s="1" t="s">
        <v>287</v>
      </c>
      <c r="C1103" s="191">
        <v>1185</v>
      </c>
      <c r="E1103" s="211">
        <v>0</v>
      </c>
      <c r="F1103" s="211">
        <v>0</v>
      </c>
      <c r="G1103" s="212">
        <f>+E1103*C1103</f>
        <v>0</v>
      </c>
      <c r="H1103" s="212">
        <f>+F1103*C1103</f>
        <v>0</v>
      </c>
    </row>
    <row r="1104" spans="2:8" hidden="1" outlineLevel="2" x14ac:dyDescent="0.25">
      <c r="B1104" s="1" t="s">
        <v>288</v>
      </c>
      <c r="C1104" s="191">
        <v>1765.02</v>
      </c>
      <c r="E1104" s="211">
        <v>0</v>
      </c>
      <c r="F1104" s="211">
        <v>0</v>
      </c>
      <c r="G1104" s="212">
        <f>+E1104*C1104</f>
        <v>0</v>
      </c>
      <c r="H1104" s="212">
        <f>+F1104*C1104</f>
        <v>0</v>
      </c>
    </row>
    <row r="1105" spans="2:8" hidden="1" outlineLevel="2" x14ac:dyDescent="0.25">
      <c r="B1105" s="1" t="s">
        <v>289</v>
      </c>
      <c r="C1105" s="191">
        <v>2271.96</v>
      </c>
      <c r="E1105" s="211">
        <v>0</v>
      </c>
      <c r="F1105" s="211">
        <v>0</v>
      </c>
      <c r="G1105" s="212">
        <f>+E1105*C1105</f>
        <v>0</v>
      </c>
      <c r="H1105" s="212">
        <f>+F1105*C1105</f>
        <v>0</v>
      </c>
    </row>
    <row r="1106" spans="2:8" hidden="1" outlineLevel="2" x14ac:dyDescent="0.25">
      <c r="B1106" s="1" t="s">
        <v>290</v>
      </c>
      <c r="C1106" s="191">
        <v>1176.68</v>
      </c>
      <c r="E1106" s="211">
        <v>0</v>
      </c>
      <c r="F1106" s="211">
        <v>0</v>
      </c>
      <c r="G1106" s="212">
        <f>+E1106*C1106</f>
        <v>0</v>
      </c>
      <c r="H1106" s="212">
        <f>+F1106*C1106</f>
        <v>0</v>
      </c>
    </row>
    <row r="1107" spans="2:8" hidden="1" outlineLevel="2" x14ac:dyDescent="0.25">
      <c r="B1107" s="1" t="s">
        <v>291</v>
      </c>
      <c r="C1107" s="191">
        <v>592.5</v>
      </c>
      <c r="E1107" s="211">
        <v>0</v>
      </c>
      <c r="F1107" s="211">
        <v>0</v>
      </c>
      <c r="G1107" s="212">
        <f>+E1107*C1107</f>
        <v>0</v>
      </c>
      <c r="H1107" s="212">
        <f>+F1107*C1107</f>
        <v>0</v>
      </c>
    </row>
    <row r="1108" spans="2:8" hidden="1" outlineLevel="2" x14ac:dyDescent="0.25">
      <c r="B1108" s="1" t="s">
        <v>292</v>
      </c>
      <c r="C1108" s="191">
        <v>4417.83</v>
      </c>
      <c r="E1108" s="211">
        <v>0</v>
      </c>
      <c r="F1108" s="211">
        <v>0</v>
      </c>
      <c r="G1108" s="212">
        <f>+E1108*C1108</f>
        <v>0</v>
      </c>
      <c r="H1108" s="212">
        <f>+F1108*C1108</f>
        <v>0</v>
      </c>
    </row>
    <row r="1109" spans="2:8" hidden="1" outlineLevel="2" x14ac:dyDescent="0.25">
      <c r="B1109" s="1" t="s">
        <v>293</v>
      </c>
      <c r="C1109" s="191">
        <v>2656.08</v>
      </c>
      <c r="E1109" s="211">
        <v>0</v>
      </c>
      <c r="F1109" s="211">
        <v>0</v>
      </c>
      <c r="G1109" s="212">
        <f>+E1109*C1109</f>
        <v>0</v>
      </c>
      <c r="H1109" s="212">
        <f>+F1109*C1109</f>
        <v>0</v>
      </c>
    </row>
    <row r="1110" spans="2:8" hidden="1" outlineLevel="2" x14ac:dyDescent="0.25">
      <c r="B1110" s="1" t="s">
        <v>294</v>
      </c>
      <c r="C1110" s="191">
        <v>5226.34</v>
      </c>
      <c r="E1110" s="211">
        <v>0</v>
      </c>
      <c r="F1110" s="211">
        <v>0</v>
      </c>
      <c r="G1110" s="212">
        <f>+E1110*C1110</f>
        <v>0</v>
      </c>
      <c r="H1110" s="212">
        <f>+F1110*C1110</f>
        <v>0</v>
      </c>
    </row>
    <row r="1111" spans="2:8" hidden="1" outlineLevel="2" x14ac:dyDescent="0.25">
      <c r="B1111" s="1" t="s">
        <v>406</v>
      </c>
      <c r="C1111" s="191">
        <v>1306.58</v>
      </c>
      <c r="E1111" s="211">
        <v>0</v>
      </c>
      <c r="F1111" s="211">
        <v>0</v>
      </c>
      <c r="G1111" s="212">
        <f>+E1111*C1111</f>
        <v>0</v>
      </c>
      <c r="H1111" s="212">
        <f>+F1111*C1111</f>
        <v>0</v>
      </c>
    </row>
    <row r="1112" spans="2:8" hidden="1" outlineLevel="2" x14ac:dyDescent="0.25">
      <c r="B1112" s="1" t="s">
        <v>407</v>
      </c>
      <c r="C1112" s="191">
        <v>287.5</v>
      </c>
      <c r="E1112" s="211">
        <v>0</v>
      </c>
      <c r="F1112" s="211">
        <v>0</v>
      </c>
      <c r="G1112" s="212">
        <f>+E1112*C1112</f>
        <v>0</v>
      </c>
      <c r="H1112" s="212">
        <f>+F1112*C1112</f>
        <v>0</v>
      </c>
    </row>
    <row r="1113" spans="2:8" hidden="1" outlineLevel="2" x14ac:dyDescent="0.25">
      <c r="B1113" s="1" t="s">
        <v>408</v>
      </c>
      <c r="C1113" s="191">
        <v>287.5</v>
      </c>
      <c r="E1113" s="211">
        <v>0</v>
      </c>
      <c r="F1113" s="211">
        <v>0</v>
      </c>
      <c r="G1113" s="212">
        <f>+E1113*C1113</f>
        <v>0</v>
      </c>
      <c r="H1113" s="212">
        <f>+F1113*C1113</f>
        <v>0</v>
      </c>
    </row>
    <row r="1114" spans="2:8" hidden="1" outlineLevel="2" x14ac:dyDescent="0.25">
      <c r="B1114" s="1" t="s">
        <v>409</v>
      </c>
      <c r="C1114" s="191">
        <v>2157.4</v>
      </c>
      <c r="E1114" s="211">
        <v>0</v>
      </c>
      <c r="F1114" s="211">
        <v>0</v>
      </c>
      <c r="G1114" s="212">
        <f>+E1114*C1114</f>
        <v>0</v>
      </c>
      <c r="H1114" s="212">
        <f>+F1114*C1114</f>
        <v>0</v>
      </c>
    </row>
    <row r="1115" spans="2:8" hidden="1" outlineLevel="2" x14ac:dyDescent="0.25">
      <c r="B1115" s="1" t="s">
        <v>410</v>
      </c>
      <c r="C1115" s="191">
        <v>2318.73</v>
      </c>
      <c r="E1115" s="211">
        <v>0</v>
      </c>
      <c r="F1115" s="211">
        <v>0</v>
      </c>
      <c r="G1115" s="212">
        <f>+E1115*C1115</f>
        <v>0</v>
      </c>
      <c r="H1115" s="212">
        <f>+F1115*C1115</f>
        <v>0</v>
      </c>
    </row>
    <row r="1116" spans="2:8" hidden="1" outlineLevel="2" x14ac:dyDescent="0.25">
      <c r="B1116" s="1" t="s">
        <v>295</v>
      </c>
      <c r="C1116" s="191">
        <v>663.84</v>
      </c>
      <c r="E1116" s="211">
        <v>0</v>
      </c>
      <c r="F1116" s="211">
        <v>0</v>
      </c>
      <c r="G1116" s="212">
        <f>+E1116*C1116</f>
        <v>0</v>
      </c>
      <c r="H1116" s="212">
        <f>+F1116*C1116</f>
        <v>0</v>
      </c>
    </row>
    <row r="1117" spans="2:8" hidden="1" outlineLevel="2" x14ac:dyDescent="0.25">
      <c r="B1117" s="1" t="s">
        <v>296</v>
      </c>
      <c r="C1117" s="191">
        <v>742.81</v>
      </c>
      <c r="E1117" s="211">
        <v>0</v>
      </c>
      <c r="F1117" s="211">
        <v>0</v>
      </c>
      <c r="G1117" s="212">
        <f>+E1117*C1117</f>
        <v>0</v>
      </c>
      <c r="H1117" s="212">
        <f>+F1117*C1117</f>
        <v>0</v>
      </c>
    </row>
    <row r="1118" spans="2:8" hidden="1" outlineLevel="1" collapsed="1" x14ac:dyDescent="0.25">
      <c r="B1118" s="207" t="s">
        <v>297</v>
      </c>
      <c r="C1118" s="208">
        <v>12289.42</v>
      </c>
      <c r="E1118" s="209"/>
      <c r="F1118" s="209"/>
      <c r="G1118" s="210"/>
      <c r="H1118" s="210"/>
    </row>
    <row r="1119" spans="2:8" hidden="1" outlineLevel="2" x14ac:dyDescent="0.25">
      <c r="B1119" s="1" t="s">
        <v>298</v>
      </c>
      <c r="C1119" s="191">
        <v>11607.8</v>
      </c>
      <c r="E1119" s="211">
        <v>0</v>
      </c>
      <c r="F1119" s="211">
        <v>0</v>
      </c>
      <c r="G1119" s="212">
        <f>+E1119*C1119</f>
        <v>0</v>
      </c>
      <c r="H1119" s="212">
        <f>+F1119*C1119</f>
        <v>0</v>
      </c>
    </row>
    <row r="1120" spans="2:8" hidden="1" outlineLevel="2" x14ac:dyDescent="0.25">
      <c r="B1120" s="1" t="s">
        <v>107</v>
      </c>
      <c r="C1120" s="191">
        <v>681.62</v>
      </c>
      <c r="E1120" s="211">
        <v>0</v>
      </c>
      <c r="F1120" s="211">
        <v>0</v>
      </c>
      <c r="G1120" s="212">
        <f>+E1120*C1120</f>
        <v>0</v>
      </c>
      <c r="H1120" s="212">
        <f>+F1120*C1120</f>
        <v>0</v>
      </c>
    </row>
    <row r="1121" spans="2:8" hidden="1" outlineLevel="1" collapsed="1" x14ac:dyDescent="0.25">
      <c r="B1121" s="207" t="s">
        <v>299</v>
      </c>
      <c r="C1121" s="208">
        <v>47416.79</v>
      </c>
      <c r="E1121" s="209"/>
      <c r="F1121" s="209"/>
      <c r="G1121" s="210"/>
      <c r="H1121" s="210"/>
    </row>
    <row r="1122" spans="2:8" hidden="1" outlineLevel="2" x14ac:dyDescent="0.25">
      <c r="B1122" s="1" t="s">
        <v>411</v>
      </c>
      <c r="C1122" s="191">
        <v>13692.87</v>
      </c>
      <c r="E1122" s="211">
        <v>0</v>
      </c>
      <c r="F1122" s="211">
        <v>0</v>
      </c>
      <c r="G1122" s="212">
        <f>+E1122*C1122</f>
        <v>0</v>
      </c>
      <c r="H1122" s="212">
        <f>+F1122*C1122</f>
        <v>0</v>
      </c>
    </row>
    <row r="1123" spans="2:8" hidden="1" outlineLevel="2" x14ac:dyDescent="0.25">
      <c r="B1123" s="1" t="s">
        <v>412</v>
      </c>
      <c r="C1123" s="191">
        <v>1447.83</v>
      </c>
      <c r="E1123" s="211">
        <v>0</v>
      </c>
      <c r="F1123" s="211">
        <v>0</v>
      </c>
      <c r="G1123" s="212">
        <f>+E1123*C1123</f>
        <v>0</v>
      </c>
      <c r="H1123" s="212">
        <f>+F1123*C1123</f>
        <v>0</v>
      </c>
    </row>
    <row r="1124" spans="2:8" hidden="1" outlineLevel="2" x14ac:dyDescent="0.25">
      <c r="B1124" s="1" t="s">
        <v>413</v>
      </c>
      <c r="C1124" s="191">
        <v>7359.9</v>
      </c>
      <c r="E1124" s="211">
        <v>0</v>
      </c>
      <c r="F1124" s="211">
        <v>0</v>
      </c>
      <c r="G1124" s="212">
        <f>+E1124*C1124</f>
        <v>0</v>
      </c>
      <c r="H1124" s="212">
        <f>+F1124*C1124</f>
        <v>0</v>
      </c>
    </row>
    <row r="1125" spans="2:8" hidden="1" outlineLevel="2" x14ac:dyDescent="0.25">
      <c r="B1125" s="1" t="s">
        <v>414</v>
      </c>
      <c r="C1125" s="191">
        <v>5979.92</v>
      </c>
      <c r="E1125" s="211">
        <v>0</v>
      </c>
      <c r="F1125" s="211">
        <v>0</v>
      </c>
      <c r="G1125" s="212">
        <f>+E1125*C1125</f>
        <v>0</v>
      </c>
      <c r="H1125" s="212">
        <f>+F1125*C1125</f>
        <v>0</v>
      </c>
    </row>
    <row r="1126" spans="2:8" hidden="1" outlineLevel="2" x14ac:dyDescent="0.25">
      <c r="B1126" s="1" t="s">
        <v>415</v>
      </c>
      <c r="C1126" s="191">
        <v>3255.54</v>
      </c>
      <c r="E1126" s="211">
        <v>0</v>
      </c>
      <c r="F1126" s="211">
        <v>0</v>
      </c>
      <c r="G1126" s="212">
        <f>+E1126*C1126</f>
        <v>0</v>
      </c>
      <c r="H1126" s="212">
        <f>+F1126*C1126</f>
        <v>0</v>
      </c>
    </row>
    <row r="1127" spans="2:8" hidden="1" outlineLevel="2" x14ac:dyDescent="0.25">
      <c r="B1127" s="1" t="s">
        <v>416</v>
      </c>
      <c r="C1127" s="191">
        <v>4242.66</v>
      </c>
      <c r="E1127" s="211">
        <v>0</v>
      </c>
      <c r="F1127" s="211">
        <v>0</v>
      </c>
      <c r="G1127" s="212">
        <f>+E1127*C1127</f>
        <v>0</v>
      </c>
      <c r="H1127" s="212">
        <f>+F1127*C1127</f>
        <v>0</v>
      </c>
    </row>
    <row r="1128" spans="2:8" hidden="1" outlineLevel="2" x14ac:dyDescent="0.25">
      <c r="B1128" s="1" t="s">
        <v>417</v>
      </c>
      <c r="C1128" s="191">
        <v>5242.8599999999997</v>
      </c>
      <c r="E1128" s="211">
        <v>0</v>
      </c>
      <c r="F1128" s="211">
        <v>0</v>
      </c>
      <c r="G1128" s="212">
        <f>+E1128*C1128</f>
        <v>0</v>
      </c>
      <c r="H1128" s="212">
        <f>+F1128*C1128</f>
        <v>0</v>
      </c>
    </row>
    <row r="1129" spans="2:8" hidden="1" outlineLevel="2" x14ac:dyDescent="0.25">
      <c r="B1129" s="1" t="s">
        <v>418</v>
      </c>
      <c r="C1129" s="191">
        <v>4950.6899999999996</v>
      </c>
      <c r="E1129" s="211">
        <v>0</v>
      </c>
      <c r="F1129" s="211">
        <v>0</v>
      </c>
      <c r="G1129" s="212">
        <f>+E1129*C1129</f>
        <v>0</v>
      </c>
      <c r="H1129" s="212">
        <f>+F1129*C1129</f>
        <v>0</v>
      </c>
    </row>
    <row r="1130" spans="2:8" hidden="1" outlineLevel="2" x14ac:dyDescent="0.25">
      <c r="B1130" s="1" t="s">
        <v>419</v>
      </c>
      <c r="C1130" s="191">
        <v>1244.52</v>
      </c>
      <c r="E1130" s="211">
        <v>0</v>
      </c>
      <c r="F1130" s="211">
        <v>0</v>
      </c>
      <c r="G1130" s="212">
        <f>+E1130*C1130</f>
        <v>0</v>
      </c>
      <c r="H1130" s="212">
        <f>+F1130*C1130</f>
        <v>0</v>
      </c>
    </row>
    <row r="1131" spans="2:8" hidden="1" outlineLevel="1" collapsed="1" x14ac:dyDescent="0.25">
      <c r="B1131" s="207" t="s">
        <v>308</v>
      </c>
      <c r="C1131" s="208">
        <v>34791.15</v>
      </c>
      <c r="E1131" s="209"/>
      <c r="F1131" s="209"/>
      <c r="G1131" s="210"/>
      <c r="H1131" s="210"/>
    </row>
    <row r="1132" spans="2:8" hidden="1" outlineLevel="2" x14ac:dyDescent="0.25">
      <c r="B1132" s="1" t="s">
        <v>309</v>
      </c>
      <c r="C1132" s="191">
        <v>1197.02</v>
      </c>
      <c r="E1132" s="211">
        <v>0</v>
      </c>
      <c r="F1132" s="211">
        <v>0</v>
      </c>
      <c r="G1132" s="212">
        <f>+E1132*C1132</f>
        <v>0</v>
      </c>
      <c r="H1132" s="212">
        <f>+F1132*C1132</f>
        <v>0</v>
      </c>
    </row>
    <row r="1133" spans="2:8" hidden="1" outlineLevel="2" x14ac:dyDescent="0.25">
      <c r="B1133" s="1" t="s">
        <v>310</v>
      </c>
      <c r="C1133" s="191">
        <v>1437.48</v>
      </c>
      <c r="E1133" s="211">
        <v>0</v>
      </c>
      <c r="F1133" s="211">
        <v>0</v>
      </c>
      <c r="G1133" s="212">
        <f>+E1133*C1133</f>
        <v>0</v>
      </c>
      <c r="H1133" s="212">
        <f>+F1133*C1133</f>
        <v>0</v>
      </c>
    </row>
    <row r="1134" spans="2:8" hidden="1" outlineLevel="2" x14ac:dyDescent="0.25">
      <c r="B1134" s="1" t="s">
        <v>311</v>
      </c>
      <c r="C1134" s="191">
        <v>431.24</v>
      </c>
      <c r="E1134" s="211">
        <v>0</v>
      </c>
      <c r="F1134" s="211">
        <v>0</v>
      </c>
      <c r="G1134" s="212">
        <f>+E1134*C1134</f>
        <v>0</v>
      </c>
      <c r="H1134" s="212">
        <f>+F1134*C1134</f>
        <v>0</v>
      </c>
    </row>
    <row r="1135" spans="2:8" hidden="1" outlineLevel="2" x14ac:dyDescent="0.25">
      <c r="B1135" s="1" t="s">
        <v>312</v>
      </c>
      <c r="C1135" s="191">
        <v>7647.39</v>
      </c>
      <c r="E1135" s="211">
        <v>0</v>
      </c>
      <c r="F1135" s="211">
        <v>0</v>
      </c>
      <c r="G1135" s="212">
        <f>+E1135*C1135</f>
        <v>0</v>
      </c>
      <c r="H1135" s="212">
        <f>+F1135*C1135</f>
        <v>0</v>
      </c>
    </row>
    <row r="1136" spans="2:8" hidden="1" outlineLevel="2" x14ac:dyDescent="0.25">
      <c r="B1136" s="1" t="s">
        <v>313</v>
      </c>
      <c r="C1136" s="191">
        <v>10349.86</v>
      </c>
      <c r="E1136" s="211">
        <v>0</v>
      </c>
      <c r="F1136" s="211">
        <v>0</v>
      </c>
      <c r="G1136" s="212">
        <f>+E1136*C1136</f>
        <v>0</v>
      </c>
      <c r="H1136" s="212">
        <f>+F1136*C1136</f>
        <v>0</v>
      </c>
    </row>
    <row r="1137" spans="2:8" hidden="1" outlineLevel="2" x14ac:dyDescent="0.25">
      <c r="B1137" s="1" t="s">
        <v>314</v>
      </c>
      <c r="C1137" s="191">
        <v>13728.16</v>
      </c>
      <c r="E1137" s="211">
        <v>0</v>
      </c>
      <c r="F1137" s="211">
        <v>0</v>
      </c>
      <c r="G1137" s="212">
        <f>+E1137*C1137</f>
        <v>0</v>
      </c>
      <c r="H1137" s="212">
        <f>+F1137*C1137</f>
        <v>0</v>
      </c>
    </row>
    <row r="1138" spans="2:8" hidden="1" outlineLevel="1" collapsed="1" x14ac:dyDescent="0.25">
      <c r="B1138" s="207" t="s">
        <v>315</v>
      </c>
      <c r="C1138" s="208">
        <v>45313.31</v>
      </c>
      <c r="E1138" s="209"/>
      <c r="F1138" s="209"/>
      <c r="G1138" s="210"/>
      <c r="H1138" s="210"/>
    </row>
    <row r="1139" spans="2:8" hidden="1" outlineLevel="2" x14ac:dyDescent="0.25">
      <c r="B1139" s="1" t="s">
        <v>420</v>
      </c>
      <c r="C1139" s="191">
        <v>1472.5</v>
      </c>
      <c r="E1139" s="211">
        <v>0</v>
      </c>
      <c r="F1139" s="211">
        <v>0</v>
      </c>
      <c r="G1139" s="212">
        <f>+E1139*C1139</f>
        <v>0</v>
      </c>
      <c r="H1139" s="212">
        <f>+F1139*C1139</f>
        <v>0</v>
      </c>
    </row>
    <row r="1140" spans="2:8" hidden="1" outlineLevel="2" x14ac:dyDescent="0.25">
      <c r="B1140" s="1" t="s">
        <v>421</v>
      </c>
      <c r="C1140" s="191">
        <v>3219.96</v>
      </c>
      <c r="E1140" s="211">
        <v>0</v>
      </c>
      <c r="F1140" s="211">
        <v>0</v>
      </c>
      <c r="G1140" s="212">
        <f>+E1140*C1140</f>
        <v>0</v>
      </c>
      <c r="H1140" s="212">
        <f>+F1140*C1140</f>
        <v>0</v>
      </c>
    </row>
    <row r="1141" spans="2:8" hidden="1" outlineLevel="2" x14ac:dyDescent="0.25">
      <c r="B1141" s="1" t="s">
        <v>422</v>
      </c>
      <c r="C1141" s="191">
        <v>9168.7800000000007</v>
      </c>
      <c r="E1141" s="211">
        <v>0</v>
      </c>
      <c r="F1141" s="211">
        <v>0</v>
      </c>
      <c r="G1141" s="212">
        <f>+E1141*C1141</f>
        <v>0</v>
      </c>
      <c r="H1141" s="212">
        <f>+F1141*C1141</f>
        <v>0</v>
      </c>
    </row>
    <row r="1142" spans="2:8" hidden="1" outlineLevel="2" x14ac:dyDescent="0.25">
      <c r="B1142" s="1" t="s">
        <v>423</v>
      </c>
      <c r="C1142" s="191">
        <v>3104.94</v>
      </c>
      <c r="E1142" s="211">
        <v>0</v>
      </c>
      <c r="F1142" s="211">
        <v>0</v>
      </c>
      <c r="G1142" s="212">
        <f>+E1142*C1142</f>
        <v>0</v>
      </c>
      <c r="H1142" s="212">
        <f>+F1142*C1142</f>
        <v>0</v>
      </c>
    </row>
    <row r="1143" spans="2:8" hidden="1" outlineLevel="2" x14ac:dyDescent="0.25">
      <c r="B1143" s="1" t="s">
        <v>424</v>
      </c>
      <c r="C1143" s="191">
        <v>19319.759999999998</v>
      </c>
      <c r="E1143" s="211">
        <v>0</v>
      </c>
      <c r="F1143" s="211">
        <v>0</v>
      </c>
      <c r="G1143" s="212">
        <f>+E1143*C1143</f>
        <v>0</v>
      </c>
      <c r="H1143" s="212">
        <f>+F1143*C1143</f>
        <v>0</v>
      </c>
    </row>
    <row r="1144" spans="2:8" hidden="1" outlineLevel="2" x14ac:dyDescent="0.25">
      <c r="B1144" s="1" t="s">
        <v>425</v>
      </c>
      <c r="C1144" s="191">
        <v>7129.92</v>
      </c>
      <c r="E1144" s="211">
        <v>0</v>
      </c>
      <c r="F1144" s="211">
        <v>0</v>
      </c>
      <c r="G1144" s="212">
        <f>+E1144*C1144</f>
        <v>0</v>
      </c>
      <c r="H1144" s="212">
        <f>+F1144*C1144</f>
        <v>0</v>
      </c>
    </row>
    <row r="1145" spans="2:8" hidden="1" outlineLevel="2" x14ac:dyDescent="0.25">
      <c r="B1145" s="1" t="s">
        <v>426</v>
      </c>
      <c r="C1145" s="191">
        <v>0</v>
      </c>
      <c r="E1145" s="211">
        <v>0</v>
      </c>
      <c r="F1145" s="211">
        <v>0</v>
      </c>
      <c r="G1145" s="212">
        <f>+E1145*C1145</f>
        <v>0</v>
      </c>
      <c r="H1145" s="212">
        <f>+F1145*C1145</f>
        <v>0</v>
      </c>
    </row>
    <row r="1146" spans="2:8" hidden="1" outlineLevel="2" x14ac:dyDescent="0.25">
      <c r="B1146" s="1" t="s">
        <v>427</v>
      </c>
      <c r="C1146" s="191">
        <v>1897.45</v>
      </c>
      <c r="E1146" s="211">
        <v>0</v>
      </c>
      <c r="F1146" s="211">
        <v>0</v>
      </c>
      <c r="G1146" s="212">
        <f>+E1146*C1146</f>
        <v>0</v>
      </c>
      <c r="H1146" s="212">
        <f>+F1146*C1146</f>
        <v>0</v>
      </c>
    </row>
    <row r="1147" spans="2:8" hidden="1" outlineLevel="1" collapsed="1" x14ac:dyDescent="0.25">
      <c r="B1147" s="207" t="s">
        <v>428</v>
      </c>
      <c r="C1147" s="208">
        <v>861.34</v>
      </c>
      <c r="E1147" s="209"/>
      <c r="F1147" s="209"/>
      <c r="G1147" s="210"/>
      <c r="H1147" s="210"/>
    </row>
    <row r="1148" spans="2:8" hidden="1" outlineLevel="2" x14ac:dyDescent="0.25">
      <c r="B1148" s="1" t="s">
        <v>429</v>
      </c>
      <c r="C1148" s="191">
        <v>861.34</v>
      </c>
      <c r="E1148" s="211">
        <v>0</v>
      </c>
      <c r="F1148" s="211">
        <v>0</v>
      </c>
      <c r="G1148" s="212">
        <f>+E1148*C1148</f>
        <v>0</v>
      </c>
      <c r="H1148" s="212">
        <f>+F1148*C1148</f>
        <v>0</v>
      </c>
    </row>
    <row r="1149" spans="2:8" hidden="1" outlineLevel="1" collapsed="1" x14ac:dyDescent="0.25">
      <c r="B1149" s="207" t="s">
        <v>323</v>
      </c>
      <c r="C1149" s="208">
        <v>24252.36</v>
      </c>
      <c r="E1149" s="209"/>
      <c r="F1149" s="209"/>
      <c r="G1149" s="210"/>
      <c r="H1149" s="210"/>
    </row>
    <row r="1150" spans="2:8" hidden="1" outlineLevel="2" x14ac:dyDescent="0.25">
      <c r="B1150" s="1" t="s">
        <v>272</v>
      </c>
      <c r="C1150" s="191">
        <v>9859.86</v>
      </c>
      <c r="E1150" s="211">
        <v>0</v>
      </c>
      <c r="F1150" s="211">
        <v>0</v>
      </c>
      <c r="G1150" s="212">
        <f>+E1150*C1150</f>
        <v>0</v>
      </c>
      <c r="H1150" s="212">
        <f>+F1150*C1150</f>
        <v>0</v>
      </c>
    </row>
    <row r="1151" spans="2:8" hidden="1" outlineLevel="2" x14ac:dyDescent="0.25">
      <c r="B1151" s="1" t="s">
        <v>324</v>
      </c>
      <c r="C1151" s="191">
        <v>14392.5</v>
      </c>
      <c r="E1151" s="211">
        <v>0</v>
      </c>
      <c r="F1151" s="211">
        <v>0</v>
      </c>
      <c r="G1151" s="212">
        <f>+E1151*C1151</f>
        <v>0</v>
      </c>
      <c r="H1151" s="212">
        <f>+F1151*C1151</f>
        <v>0</v>
      </c>
    </row>
    <row r="1152" spans="2:8" hidden="1" outlineLevel="1" collapsed="1" x14ac:dyDescent="0.25">
      <c r="B1152" s="207" t="s">
        <v>319</v>
      </c>
      <c r="C1152" s="208">
        <v>21640</v>
      </c>
      <c r="E1152" s="209"/>
      <c r="F1152" s="209"/>
      <c r="G1152" s="210"/>
      <c r="H1152" s="210"/>
    </row>
    <row r="1153" spans="2:8" hidden="1" outlineLevel="1" x14ac:dyDescent="0.25">
      <c r="B1153" s="1" t="s">
        <v>320</v>
      </c>
      <c r="C1153" s="191">
        <v>14290.2</v>
      </c>
      <c r="E1153" s="211">
        <v>0</v>
      </c>
      <c r="F1153" s="211">
        <v>0</v>
      </c>
      <c r="G1153" s="212">
        <f>+E1153*C1153</f>
        <v>0</v>
      </c>
      <c r="H1153" s="212">
        <f>+F1153*C1153</f>
        <v>0</v>
      </c>
    </row>
    <row r="1154" spans="2:8" hidden="1" outlineLevel="1" x14ac:dyDescent="0.25">
      <c r="B1154" s="1" t="s">
        <v>321</v>
      </c>
      <c r="C1154" s="191">
        <v>5509.8</v>
      </c>
      <c r="E1154" s="211">
        <v>0</v>
      </c>
      <c r="F1154" s="211">
        <v>0</v>
      </c>
      <c r="G1154" s="212">
        <f>+E1154*C1154</f>
        <v>0</v>
      </c>
      <c r="H1154" s="212">
        <f>+F1154*C1154</f>
        <v>0</v>
      </c>
    </row>
    <row r="1155" spans="2:8" hidden="1" outlineLevel="1" x14ac:dyDescent="0.25">
      <c r="B1155" s="1" t="s">
        <v>322</v>
      </c>
      <c r="C1155" s="191">
        <v>1840</v>
      </c>
      <c r="E1155" s="211">
        <v>0</v>
      </c>
      <c r="F1155" s="211">
        <v>0</v>
      </c>
      <c r="G1155" s="212">
        <f>+E1155*C1155</f>
        <v>0</v>
      </c>
      <c r="H1155" s="212">
        <f>+F1155*C1155</f>
        <v>0</v>
      </c>
    </row>
    <row r="1156" spans="2:8" collapsed="1" x14ac:dyDescent="0.25">
      <c r="B1156" s="192" t="s">
        <v>432</v>
      </c>
      <c r="C1156" s="193">
        <f>+C1157+C1159+C1162+C1188+C1203+C1205+C1231+C1245+C1264+C1273+C1276+C1279+C1306+C1315+C1323+C1340+C1342+C1345+C1356+C1362+C1371+C1386+C1417+C1420+C1430+C1437+C1446+C1448+C1451</f>
        <v>2435578.5999999996</v>
      </c>
      <c r="E1156" s="206">
        <f>+G1156/C1156</f>
        <v>0</v>
      </c>
      <c r="F1156" s="206">
        <f>+H1156/C1156</f>
        <v>0</v>
      </c>
      <c r="G1156" s="205">
        <f>+G1157+G1159+G1162</f>
        <v>0</v>
      </c>
      <c r="H1156" s="205">
        <f>+H1157+H1159+H1162</f>
        <v>0</v>
      </c>
    </row>
    <row r="1157" spans="2:8" hidden="1" outlineLevel="1" x14ac:dyDescent="0.25">
      <c r="B1157" s="207" t="s">
        <v>104</v>
      </c>
      <c r="C1157" s="208">
        <v>9070.2000000000007</v>
      </c>
      <c r="E1157" s="209"/>
      <c r="F1157" s="209"/>
      <c r="G1157" s="210"/>
      <c r="H1157" s="210"/>
    </row>
    <row r="1158" spans="2:8" hidden="1" outlineLevel="2" x14ac:dyDescent="0.25">
      <c r="B1158" s="1" t="s">
        <v>105</v>
      </c>
      <c r="C1158" s="191">
        <v>9070.2000000000007</v>
      </c>
      <c r="E1158" s="211">
        <v>0</v>
      </c>
      <c r="F1158" s="211">
        <v>0</v>
      </c>
      <c r="G1158" s="212">
        <f>+E1158*C1158</f>
        <v>0</v>
      </c>
      <c r="H1158" s="212">
        <f>+F1158*C1158</f>
        <v>0</v>
      </c>
    </row>
    <row r="1159" spans="2:8" hidden="1" outlineLevel="1" collapsed="1" x14ac:dyDescent="0.25">
      <c r="B1159" s="207" t="s">
        <v>106</v>
      </c>
      <c r="C1159" s="208">
        <v>1855.37</v>
      </c>
      <c r="E1159" s="209"/>
      <c r="F1159" s="209"/>
      <c r="G1159" s="210"/>
      <c r="H1159" s="210"/>
    </row>
    <row r="1160" spans="2:8" hidden="1" outlineLevel="2" x14ac:dyDescent="0.25">
      <c r="B1160" s="1" t="s">
        <v>107</v>
      </c>
      <c r="C1160" s="191">
        <v>1118.55</v>
      </c>
      <c r="E1160" s="211">
        <v>0</v>
      </c>
      <c r="F1160" s="211">
        <v>0</v>
      </c>
      <c r="G1160" s="212">
        <f>+E1160*C1160</f>
        <v>0</v>
      </c>
      <c r="H1160" s="212">
        <f>+F1160*C1160</f>
        <v>0</v>
      </c>
    </row>
    <row r="1161" spans="2:8" hidden="1" outlineLevel="2" x14ac:dyDescent="0.25">
      <c r="B1161" s="1" t="s">
        <v>108</v>
      </c>
      <c r="C1161" s="191">
        <v>736.82</v>
      </c>
      <c r="E1161" s="211">
        <v>0</v>
      </c>
      <c r="F1161" s="211">
        <v>0</v>
      </c>
      <c r="G1161" s="212">
        <f>+E1161*C1161</f>
        <v>0</v>
      </c>
      <c r="H1161" s="212">
        <f>+F1161*C1161</f>
        <v>0</v>
      </c>
    </row>
    <row r="1162" spans="2:8" hidden="1" outlineLevel="1" collapsed="1" x14ac:dyDescent="0.25">
      <c r="B1162" s="207" t="s">
        <v>109</v>
      </c>
      <c r="C1162" s="208">
        <v>183681.82</v>
      </c>
      <c r="E1162" s="209"/>
      <c r="F1162" s="209"/>
      <c r="G1162" s="210"/>
      <c r="H1162" s="210"/>
    </row>
    <row r="1163" spans="2:8" hidden="1" outlineLevel="2" x14ac:dyDescent="0.25">
      <c r="B1163" s="1" t="s">
        <v>110</v>
      </c>
      <c r="C1163" s="191">
        <v>10207.56</v>
      </c>
      <c r="E1163" s="211">
        <v>0</v>
      </c>
      <c r="F1163" s="211">
        <v>0</v>
      </c>
      <c r="G1163" s="212">
        <f>+E1163*C1163</f>
        <v>0</v>
      </c>
      <c r="H1163" s="212">
        <f>+F1163*C1163</f>
        <v>0</v>
      </c>
    </row>
    <row r="1164" spans="2:8" hidden="1" outlineLevel="2" x14ac:dyDescent="0.25">
      <c r="B1164" s="1" t="s">
        <v>111</v>
      </c>
      <c r="C1164" s="191">
        <v>5045.08</v>
      </c>
      <c r="E1164" s="211">
        <v>0</v>
      </c>
      <c r="F1164" s="211">
        <v>0</v>
      </c>
      <c r="G1164" s="212">
        <f>+E1164*C1164</f>
        <v>0</v>
      </c>
      <c r="H1164" s="212">
        <f>+F1164*C1164</f>
        <v>0</v>
      </c>
    </row>
    <row r="1165" spans="2:8" hidden="1" outlineLevel="2" x14ac:dyDescent="0.25">
      <c r="B1165" s="1" t="s">
        <v>112</v>
      </c>
      <c r="C1165" s="191">
        <v>3100.09</v>
      </c>
      <c r="E1165" s="211">
        <v>0</v>
      </c>
      <c r="F1165" s="211">
        <v>0</v>
      </c>
      <c r="G1165" s="212">
        <f>+E1165*C1165</f>
        <v>0</v>
      </c>
      <c r="H1165" s="212">
        <f>+F1165*C1165</f>
        <v>0</v>
      </c>
    </row>
    <row r="1166" spans="2:8" hidden="1" outlineLevel="2" x14ac:dyDescent="0.25">
      <c r="B1166" s="1" t="s">
        <v>113</v>
      </c>
      <c r="C1166" s="191">
        <v>2653.92</v>
      </c>
      <c r="E1166" s="211">
        <v>0</v>
      </c>
      <c r="F1166" s="211">
        <v>0</v>
      </c>
      <c r="G1166" s="212">
        <f>+E1166*C1166</f>
        <v>0</v>
      </c>
      <c r="H1166" s="212">
        <f>+F1166*C1166</f>
        <v>0</v>
      </c>
    </row>
    <row r="1167" spans="2:8" hidden="1" outlineLevel="2" x14ac:dyDescent="0.25">
      <c r="B1167" s="1" t="s">
        <v>114</v>
      </c>
      <c r="C1167" s="191">
        <v>1452.12</v>
      </c>
      <c r="E1167" s="211">
        <v>0</v>
      </c>
      <c r="F1167" s="211">
        <v>0</v>
      </c>
      <c r="G1167" s="212">
        <f>+E1167*C1167</f>
        <v>0</v>
      </c>
      <c r="H1167" s="212">
        <f>+F1167*C1167</f>
        <v>0</v>
      </c>
    </row>
    <row r="1168" spans="2:8" hidden="1" outlineLevel="2" x14ac:dyDescent="0.25">
      <c r="B1168" s="1" t="s">
        <v>115</v>
      </c>
      <c r="C1168" s="191">
        <v>2404.85</v>
      </c>
      <c r="E1168" s="211">
        <v>0</v>
      </c>
      <c r="F1168" s="211">
        <v>0</v>
      </c>
      <c r="G1168" s="212">
        <f>+E1168*C1168</f>
        <v>0</v>
      </c>
      <c r="H1168" s="212">
        <f>+F1168*C1168</f>
        <v>0</v>
      </c>
    </row>
    <row r="1169" spans="2:8" hidden="1" outlineLevel="2" x14ac:dyDescent="0.25">
      <c r="B1169" s="1" t="s">
        <v>116</v>
      </c>
      <c r="C1169" s="191">
        <v>753.2</v>
      </c>
      <c r="E1169" s="211">
        <v>0</v>
      </c>
      <c r="F1169" s="211">
        <v>0</v>
      </c>
      <c r="G1169" s="212">
        <f>+E1169*C1169</f>
        <v>0</v>
      </c>
      <c r="H1169" s="212">
        <f>+F1169*C1169</f>
        <v>0</v>
      </c>
    </row>
    <row r="1170" spans="2:8" hidden="1" outlineLevel="2" x14ac:dyDescent="0.25">
      <c r="B1170" s="1" t="s">
        <v>117</v>
      </c>
      <c r="C1170" s="191">
        <v>753.2</v>
      </c>
      <c r="E1170" s="211">
        <v>0</v>
      </c>
      <c r="F1170" s="211">
        <v>0</v>
      </c>
      <c r="G1170" s="212">
        <f>+E1170*C1170</f>
        <v>0</v>
      </c>
      <c r="H1170" s="212">
        <f>+F1170*C1170</f>
        <v>0</v>
      </c>
    </row>
    <row r="1171" spans="2:8" hidden="1" outlineLevel="2" x14ac:dyDescent="0.25">
      <c r="B1171" s="1" t="s">
        <v>326</v>
      </c>
      <c r="C1171" s="191">
        <v>272.37</v>
      </c>
      <c r="E1171" s="211">
        <v>0</v>
      </c>
      <c r="F1171" s="211">
        <v>0</v>
      </c>
      <c r="G1171" s="212">
        <f>+E1171*C1171</f>
        <v>0</v>
      </c>
      <c r="H1171" s="212">
        <f>+F1171*C1171</f>
        <v>0</v>
      </c>
    </row>
    <row r="1172" spans="2:8" hidden="1" outlineLevel="2" x14ac:dyDescent="0.25">
      <c r="B1172" s="1" t="s">
        <v>118</v>
      </c>
      <c r="C1172" s="191">
        <v>371.75</v>
      </c>
      <c r="E1172" s="211">
        <v>0</v>
      </c>
      <c r="F1172" s="211">
        <v>0</v>
      </c>
      <c r="G1172" s="212">
        <f>+E1172*C1172</f>
        <v>0</v>
      </c>
      <c r="H1172" s="212">
        <f>+F1172*C1172</f>
        <v>0</v>
      </c>
    </row>
    <row r="1173" spans="2:8" hidden="1" outlineLevel="2" x14ac:dyDescent="0.25">
      <c r="B1173" s="1" t="s">
        <v>119</v>
      </c>
      <c r="C1173" s="191">
        <v>2465.0700000000002</v>
      </c>
      <c r="E1173" s="211">
        <v>0</v>
      </c>
      <c r="F1173" s="211">
        <v>0</v>
      </c>
      <c r="G1173" s="212">
        <f>+E1173*C1173</f>
        <v>0</v>
      </c>
      <c r="H1173" s="212">
        <f>+F1173*C1173</f>
        <v>0</v>
      </c>
    </row>
    <row r="1174" spans="2:8" hidden="1" outlineLevel="2" x14ac:dyDescent="0.25">
      <c r="B1174" s="1" t="s">
        <v>120</v>
      </c>
      <c r="C1174" s="191">
        <v>582.14</v>
      </c>
      <c r="E1174" s="211">
        <v>0</v>
      </c>
      <c r="F1174" s="211">
        <v>0</v>
      </c>
      <c r="G1174" s="212">
        <f>+E1174*C1174</f>
        <v>0</v>
      </c>
      <c r="H1174" s="212">
        <f>+F1174*C1174</f>
        <v>0</v>
      </c>
    </row>
    <row r="1175" spans="2:8" hidden="1" outlineLevel="2" x14ac:dyDescent="0.25">
      <c r="B1175" s="1" t="s">
        <v>121</v>
      </c>
      <c r="C1175" s="191">
        <v>574.99</v>
      </c>
      <c r="E1175" s="211">
        <v>0</v>
      </c>
      <c r="F1175" s="211">
        <v>0</v>
      </c>
      <c r="G1175" s="212">
        <f>+E1175*C1175</f>
        <v>0</v>
      </c>
      <c r="H1175" s="212">
        <f>+F1175*C1175</f>
        <v>0</v>
      </c>
    </row>
    <row r="1176" spans="2:8" hidden="1" outlineLevel="2" x14ac:dyDescent="0.25">
      <c r="B1176" s="1" t="s">
        <v>122</v>
      </c>
      <c r="C1176" s="191">
        <v>1659.62</v>
      </c>
      <c r="E1176" s="211">
        <v>0</v>
      </c>
      <c r="F1176" s="211">
        <v>0</v>
      </c>
      <c r="G1176" s="212">
        <f>+E1176*C1176</f>
        <v>0</v>
      </c>
      <c r="H1176" s="212">
        <f>+F1176*C1176</f>
        <v>0</v>
      </c>
    </row>
    <row r="1177" spans="2:8" hidden="1" outlineLevel="2" x14ac:dyDescent="0.25">
      <c r="B1177" s="1" t="s">
        <v>123</v>
      </c>
      <c r="C1177" s="191">
        <v>87.1</v>
      </c>
      <c r="E1177" s="211">
        <v>0</v>
      </c>
      <c r="F1177" s="211">
        <v>0</v>
      </c>
      <c r="G1177" s="212">
        <f>+E1177*C1177</f>
        <v>0</v>
      </c>
      <c r="H1177" s="212">
        <f>+F1177*C1177</f>
        <v>0</v>
      </c>
    </row>
    <row r="1178" spans="2:8" hidden="1" outlineLevel="2" x14ac:dyDescent="0.25">
      <c r="B1178" s="1" t="s">
        <v>124</v>
      </c>
      <c r="C1178" s="191">
        <v>574.99</v>
      </c>
      <c r="E1178" s="211">
        <v>0</v>
      </c>
      <c r="F1178" s="211">
        <v>0</v>
      </c>
      <c r="G1178" s="212">
        <f>+E1178*C1178</f>
        <v>0</v>
      </c>
      <c r="H1178" s="212">
        <f>+F1178*C1178</f>
        <v>0</v>
      </c>
    </row>
    <row r="1179" spans="2:8" hidden="1" outlineLevel="2" x14ac:dyDescent="0.25">
      <c r="B1179" s="1" t="s">
        <v>125</v>
      </c>
      <c r="C1179" s="191">
        <v>18766.14</v>
      </c>
      <c r="E1179" s="211">
        <v>0</v>
      </c>
      <c r="F1179" s="211">
        <v>0</v>
      </c>
      <c r="G1179" s="212">
        <f>+E1179*C1179</f>
        <v>0</v>
      </c>
      <c r="H1179" s="212">
        <f>+F1179*C1179</f>
        <v>0</v>
      </c>
    </row>
    <row r="1180" spans="2:8" hidden="1" outlineLevel="2" x14ac:dyDescent="0.25">
      <c r="B1180" s="1" t="s">
        <v>126</v>
      </c>
      <c r="C1180" s="191">
        <v>11214.79</v>
      </c>
      <c r="E1180" s="211">
        <v>0</v>
      </c>
      <c r="F1180" s="211">
        <v>0</v>
      </c>
      <c r="G1180" s="212">
        <f>+E1180*C1180</f>
        <v>0</v>
      </c>
      <c r="H1180" s="212">
        <f>+F1180*C1180</f>
        <v>0</v>
      </c>
    </row>
    <row r="1181" spans="2:8" hidden="1" outlineLevel="2" x14ac:dyDescent="0.25">
      <c r="B1181" s="1" t="s">
        <v>127</v>
      </c>
      <c r="C1181" s="191">
        <v>5062.1499999999996</v>
      </c>
      <c r="E1181" s="211">
        <v>0</v>
      </c>
      <c r="F1181" s="211">
        <v>0</v>
      </c>
      <c r="G1181" s="212">
        <f>+E1181*C1181</f>
        <v>0</v>
      </c>
      <c r="H1181" s="212">
        <f>+F1181*C1181</f>
        <v>0</v>
      </c>
    </row>
    <row r="1182" spans="2:8" hidden="1" outlineLevel="2" x14ac:dyDescent="0.25">
      <c r="B1182" s="1" t="s">
        <v>128</v>
      </c>
      <c r="C1182" s="191">
        <v>7598.06</v>
      </c>
      <c r="E1182" s="211">
        <v>0</v>
      </c>
      <c r="F1182" s="211">
        <v>0</v>
      </c>
      <c r="G1182" s="212">
        <f>+E1182*C1182</f>
        <v>0</v>
      </c>
      <c r="H1182" s="212">
        <f>+F1182*C1182</f>
        <v>0</v>
      </c>
    </row>
    <row r="1183" spans="2:8" hidden="1" outlineLevel="2" x14ac:dyDescent="0.25">
      <c r="B1183" s="1" t="s">
        <v>129</v>
      </c>
      <c r="C1183" s="191">
        <v>14734.01</v>
      </c>
      <c r="E1183" s="211">
        <v>0</v>
      </c>
      <c r="F1183" s="211">
        <v>0</v>
      </c>
      <c r="G1183" s="212">
        <f>+E1183*C1183</f>
        <v>0</v>
      </c>
      <c r="H1183" s="212">
        <f>+F1183*C1183</f>
        <v>0</v>
      </c>
    </row>
    <row r="1184" spans="2:8" hidden="1" outlineLevel="2" x14ac:dyDescent="0.25">
      <c r="B1184" s="1" t="s">
        <v>130</v>
      </c>
      <c r="C1184" s="191">
        <v>50517.75</v>
      </c>
      <c r="E1184" s="211">
        <v>0</v>
      </c>
      <c r="F1184" s="211">
        <v>0</v>
      </c>
      <c r="G1184" s="212">
        <f>+E1184*C1184</f>
        <v>0</v>
      </c>
      <c r="H1184" s="212">
        <f>+F1184*C1184</f>
        <v>0</v>
      </c>
    </row>
    <row r="1185" spans="2:8" hidden="1" outlineLevel="2" x14ac:dyDescent="0.25">
      <c r="B1185" s="1" t="s">
        <v>131</v>
      </c>
      <c r="C1185" s="191">
        <v>2501.31</v>
      </c>
      <c r="E1185" s="211">
        <v>0</v>
      </c>
      <c r="F1185" s="211">
        <v>0</v>
      </c>
      <c r="G1185" s="212">
        <f>+E1185*C1185</f>
        <v>0</v>
      </c>
      <c r="H1185" s="212">
        <f>+F1185*C1185</f>
        <v>0</v>
      </c>
    </row>
    <row r="1186" spans="2:8" hidden="1" outlineLevel="2" x14ac:dyDescent="0.25">
      <c r="B1186" s="1" t="s">
        <v>132</v>
      </c>
      <c r="C1186" s="191">
        <v>13441.06</v>
      </c>
      <c r="E1186" s="211">
        <v>0</v>
      </c>
      <c r="F1186" s="211">
        <v>0</v>
      </c>
      <c r="G1186" s="212">
        <f>+E1186*C1186</f>
        <v>0</v>
      </c>
      <c r="H1186" s="212">
        <f>+F1186*C1186</f>
        <v>0</v>
      </c>
    </row>
    <row r="1187" spans="2:8" hidden="1" outlineLevel="2" x14ac:dyDescent="0.25">
      <c r="B1187" s="1" t="s">
        <v>133</v>
      </c>
      <c r="C1187" s="191">
        <v>26888.5</v>
      </c>
      <c r="E1187" s="211">
        <v>0</v>
      </c>
      <c r="F1187" s="211">
        <v>0</v>
      </c>
      <c r="G1187" s="212">
        <f>+E1187*C1187</f>
        <v>0</v>
      </c>
      <c r="H1187" s="212">
        <f>+F1187*C1187</f>
        <v>0</v>
      </c>
    </row>
    <row r="1188" spans="2:8" hidden="1" outlineLevel="1" collapsed="1" x14ac:dyDescent="0.25">
      <c r="B1188" s="207" t="s">
        <v>136</v>
      </c>
      <c r="C1188" s="208">
        <v>167033.85</v>
      </c>
      <c r="E1188" s="209"/>
      <c r="F1188" s="209"/>
      <c r="G1188" s="210"/>
      <c r="H1188" s="210"/>
    </row>
    <row r="1189" spans="2:8" hidden="1" outlineLevel="2" x14ac:dyDescent="0.25">
      <c r="B1189" s="1" t="s">
        <v>137</v>
      </c>
      <c r="C1189" s="191">
        <v>0</v>
      </c>
      <c r="E1189" s="211">
        <v>0</v>
      </c>
      <c r="F1189" s="211">
        <v>0</v>
      </c>
      <c r="G1189" s="212">
        <f>+E1189*C1189</f>
        <v>0</v>
      </c>
      <c r="H1189" s="212">
        <f>+F1189*C1189</f>
        <v>0</v>
      </c>
    </row>
    <row r="1190" spans="2:8" hidden="1" outlineLevel="2" x14ac:dyDescent="0.25">
      <c r="B1190" s="1" t="s">
        <v>138</v>
      </c>
      <c r="C1190" s="191">
        <v>25106.13</v>
      </c>
      <c r="E1190" s="211">
        <v>0</v>
      </c>
      <c r="F1190" s="211">
        <v>0</v>
      </c>
      <c r="G1190" s="212">
        <f>+E1190*C1190</f>
        <v>0</v>
      </c>
      <c r="H1190" s="212">
        <f>+F1190*C1190</f>
        <v>0</v>
      </c>
    </row>
    <row r="1191" spans="2:8" hidden="1" outlineLevel="2" x14ac:dyDescent="0.25">
      <c r="B1191" s="1" t="s">
        <v>140</v>
      </c>
      <c r="C1191" s="191">
        <v>19843.650000000001</v>
      </c>
      <c r="E1191" s="211">
        <v>0</v>
      </c>
      <c r="F1191" s="211">
        <v>0</v>
      </c>
      <c r="G1191" s="212">
        <f>+E1191*C1191</f>
        <v>0</v>
      </c>
      <c r="H1191" s="212">
        <f>+F1191*C1191</f>
        <v>0</v>
      </c>
    </row>
    <row r="1192" spans="2:8" hidden="1" outlineLevel="2" x14ac:dyDescent="0.25">
      <c r="B1192" s="1" t="s">
        <v>141</v>
      </c>
      <c r="C1192" s="191">
        <v>2267.86</v>
      </c>
      <c r="E1192" s="211">
        <v>0</v>
      </c>
      <c r="F1192" s="211">
        <v>0</v>
      </c>
      <c r="G1192" s="212">
        <f>+E1192*C1192</f>
        <v>0</v>
      </c>
      <c r="H1192" s="212">
        <f>+F1192*C1192</f>
        <v>0</v>
      </c>
    </row>
    <row r="1193" spans="2:8" hidden="1" outlineLevel="2" x14ac:dyDescent="0.25">
      <c r="B1193" s="1" t="s">
        <v>142</v>
      </c>
      <c r="C1193" s="191">
        <v>3146.27</v>
      </c>
      <c r="E1193" s="211">
        <v>0</v>
      </c>
      <c r="F1193" s="211">
        <v>0</v>
      </c>
      <c r="G1193" s="212">
        <f>+E1193*C1193</f>
        <v>0</v>
      </c>
      <c r="H1193" s="212">
        <f>+F1193*C1193</f>
        <v>0</v>
      </c>
    </row>
    <row r="1194" spans="2:8" hidden="1" outlineLevel="2" x14ac:dyDescent="0.25">
      <c r="B1194" s="1" t="s">
        <v>143</v>
      </c>
      <c r="C1194" s="191">
        <v>6981.21</v>
      </c>
      <c r="E1194" s="211">
        <v>0</v>
      </c>
      <c r="F1194" s="211">
        <v>0</v>
      </c>
      <c r="G1194" s="212">
        <f>+E1194*C1194</f>
        <v>0</v>
      </c>
      <c r="H1194" s="212">
        <f>+F1194*C1194</f>
        <v>0</v>
      </c>
    </row>
    <row r="1195" spans="2:8" hidden="1" outlineLevel="2" x14ac:dyDescent="0.25">
      <c r="B1195" s="1" t="s">
        <v>146</v>
      </c>
      <c r="C1195" s="191">
        <v>21736.69</v>
      </c>
      <c r="E1195" s="211">
        <v>0</v>
      </c>
      <c r="F1195" s="211">
        <v>0</v>
      </c>
      <c r="G1195" s="212">
        <f>+E1195*C1195</f>
        <v>0</v>
      </c>
      <c r="H1195" s="212">
        <f>+F1195*C1195</f>
        <v>0</v>
      </c>
    </row>
    <row r="1196" spans="2:8" hidden="1" outlineLevel="2" x14ac:dyDescent="0.25">
      <c r="B1196" s="1" t="s">
        <v>147</v>
      </c>
      <c r="C1196" s="191">
        <v>6832.58</v>
      </c>
      <c r="E1196" s="211">
        <v>0</v>
      </c>
      <c r="F1196" s="211">
        <v>0</v>
      </c>
      <c r="G1196" s="212">
        <f>+E1196*C1196</f>
        <v>0</v>
      </c>
      <c r="H1196" s="212">
        <f>+F1196*C1196</f>
        <v>0</v>
      </c>
    </row>
    <row r="1197" spans="2:8" hidden="1" outlineLevel="2" x14ac:dyDescent="0.25">
      <c r="B1197" s="1" t="s">
        <v>148</v>
      </c>
      <c r="C1197" s="191">
        <v>7108.11</v>
      </c>
      <c r="E1197" s="211">
        <v>0</v>
      </c>
      <c r="F1197" s="211">
        <v>0</v>
      </c>
      <c r="G1197" s="212">
        <f>+E1197*C1197</f>
        <v>0</v>
      </c>
      <c r="H1197" s="212">
        <f>+F1197*C1197</f>
        <v>0</v>
      </c>
    </row>
    <row r="1198" spans="2:8" hidden="1" outlineLevel="2" x14ac:dyDescent="0.25">
      <c r="B1198" s="1" t="s">
        <v>149</v>
      </c>
      <c r="C1198" s="191">
        <v>18986.43</v>
      </c>
      <c r="E1198" s="211">
        <v>0</v>
      </c>
      <c r="F1198" s="211">
        <v>0</v>
      </c>
      <c r="G1198" s="212">
        <f>+E1198*C1198</f>
        <v>0</v>
      </c>
      <c r="H1198" s="212">
        <f>+F1198*C1198</f>
        <v>0</v>
      </c>
    </row>
    <row r="1199" spans="2:8" hidden="1" outlineLevel="2" x14ac:dyDescent="0.25">
      <c r="B1199" s="1" t="s">
        <v>150</v>
      </c>
      <c r="C1199" s="191">
        <v>52446.46</v>
      </c>
      <c r="E1199" s="211">
        <v>0</v>
      </c>
      <c r="F1199" s="211">
        <v>0</v>
      </c>
      <c r="G1199" s="212">
        <f>+E1199*C1199</f>
        <v>0</v>
      </c>
      <c r="H1199" s="212">
        <f>+F1199*C1199</f>
        <v>0</v>
      </c>
    </row>
    <row r="1200" spans="2:8" hidden="1" outlineLevel="2" x14ac:dyDescent="0.25">
      <c r="B1200" s="1" t="s">
        <v>327</v>
      </c>
      <c r="C1200" s="191">
        <v>1637.54</v>
      </c>
      <c r="E1200" s="211">
        <v>0</v>
      </c>
      <c r="F1200" s="211">
        <v>0</v>
      </c>
      <c r="G1200" s="212">
        <f>+E1200*C1200</f>
        <v>0</v>
      </c>
      <c r="H1200" s="212">
        <f>+F1200*C1200</f>
        <v>0</v>
      </c>
    </row>
    <row r="1201" spans="2:8" hidden="1" outlineLevel="2" x14ac:dyDescent="0.25">
      <c r="B1201" s="1" t="s">
        <v>116</v>
      </c>
      <c r="C1201" s="191">
        <v>470.46</v>
      </c>
      <c r="E1201" s="211">
        <v>0</v>
      </c>
      <c r="F1201" s="211">
        <v>0</v>
      </c>
      <c r="G1201" s="212">
        <f>+E1201*C1201</f>
        <v>0</v>
      </c>
      <c r="H1201" s="212">
        <f>+F1201*C1201</f>
        <v>0</v>
      </c>
    </row>
    <row r="1202" spans="2:8" hidden="1" outlineLevel="2" x14ac:dyDescent="0.25">
      <c r="B1202" s="1" t="s">
        <v>117</v>
      </c>
      <c r="C1202" s="191">
        <v>470.46</v>
      </c>
      <c r="E1202" s="211">
        <v>0</v>
      </c>
      <c r="F1202" s="211">
        <v>0</v>
      </c>
      <c r="G1202" s="212">
        <f>+E1202*C1202</f>
        <v>0</v>
      </c>
      <c r="H1202" s="212">
        <f>+F1202*C1202</f>
        <v>0</v>
      </c>
    </row>
    <row r="1203" spans="2:8" hidden="1" outlineLevel="1" collapsed="1" x14ac:dyDescent="0.25">
      <c r="B1203" s="207" t="s">
        <v>151</v>
      </c>
      <c r="C1203" s="208">
        <v>26683.07</v>
      </c>
      <c r="E1203" s="209"/>
      <c r="F1203" s="209"/>
      <c r="G1203" s="210"/>
      <c r="H1203" s="210"/>
    </row>
    <row r="1204" spans="2:8" hidden="1" outlineLevel="2" x14ac:dyDescent="0.25">
      <c r="B1204" s="1" t="s">
        <v>152</v>
      </c>
      <c r="C1204" s="191">
        <v>26683.07</v>
      </c>
      <c r="E1204" s="211">
        <v>0</v>
      </c>
      <c r="F1204" s="211">
        <v>0</v>
      </c>
      <c r="G1204" s="212">
        <f>+E1204*C1204</f>
        <v>0</v>
      </c>
      <c r="H1204" s="212">
        <f>+F1204*C1204</f>
        <v>0</v>
      </c>
    </row>
    <row r="1205" spans="2:8" hidden="1" outlineLevel="1" collapsed="1" x14ac:dyDescent="0.25">
      <c r="B1205" s="207" t="s">
        <v>153</v>
      </c>
      <c r="C1205" s="208">
        <v>203007.14</v>
      </c>
      <c r="E1205" s="209"/>
      <c r="F1205" s="209"/>
      <c r="G1205" s="210"/>
      <c r="H1205" s="210"/>
    </row>
    <row r="1206" spans="2:8" hidden="1" outlineLevel="2" x14ac:dyDescent="0.25">
      <c r="B1206" s="1" t="s">
        <v>328</v>
      </c>
      <c r="C1206" s="191">
        <v>12050.32</v>
      </c>
      <c r="E1206" s="211">
        <v>0</v>
      </c>
      <c r="F1206" s="211">
        <v>0</v>
      </c>
      <c r="G1206" s="212">
        <f>+E1206*C1206</f>
        <v>0</v>
      </c>
      <c r="H1206" s="212">
        <f>+F1206*C1206</f>
        <v>0</v>
      </c>
    </row>
    <row r="1207" spans="2:8" hidden="1" outlineLevel="2" x14ac:dyDescent="0.25">
      <c r="B1207" s="1" t="s">
        <v>329</v>
      </c>
      <c r="C1207" s="191">
        <v>7601.03</v>
      </c>
      <c r="E1207" s="211">
        <v>0</v>
      </c>
      <c r="F1207" s="211">
        <v>0</v>
      </c>
      <c r="G1207" s="212">
        <f>+E1207*C1207</f>
        <v>0</v>
      </c>
      <c r="H1207" s="212">
        <f>+F1207*C1207</f>
        <v>0</v>
      </c>
    </row>
    <row r="1208" spans="2:8" hidden="1" outlineLevel="2" x14ac:dyDescent="0.25">
      <c r="B1208" s="1" t="s">
        <v>164</v>
      </c>
      <c r="C1208" s="191">
        <v>975.71</v>
      </c>
      <c r="E1208" s="211">
        <v>0</v>
      </c>
      <c r="F1208" s="211">
        <v>0</v>
      </c>
      <c r="G1208" s="212">
        <f>+E1208*C1208</f>
        <v>0</v>
      </c>
      <c r="H1208" s="212">
        <f>+F1208*C1208</f>
        <v>0</v>
      </c>
    </row>
    <row r="1209" spans="2:8" hidden="1" outlineLevel="2" x14ac:dyDescent="0.25">
      <c r="B1209" s="1" t="s">
        <v>330</v>
      </c>
      <c r="C1209" s="191">
        <v>1982.23</v>
      </c>
      <c r="E1209" s="211">
        <v>0</v>
      </c>
      <c r="F1209" s="211">
        <v>0</v>
      </c>
      <c r="G1209" s="212">
        <f>+E1209*C1209</f>
        <v>0</v>
      </c>
      <c r="H1209" s="212">
        <f>+F1209*C1209</f>
        <v>0</v>
      </c>
    </row>
    <row r="1210" spans="2:8" hidden="1" outlineLevel="2" x14ac:dyDescent="0.25">
      <c r="B1210" s="1" t="s">
        <v>162</v>
      </c>
      <c r="C1210" s="191">
        <v>1165.56</v>
      </c>
      <c r="E1210" s="211">
        <v>0</v>
      </c>
      <c r="F1210" s="211">
        <v>0</v>
      </c>
      <c r="G1210" s="212">
        <f>+E1210*C1210</f>
        <v>0</v>
      </c>
      <c r="H1210" s="212">
        <f>+F1210*C1210</f>
        <v>0</v>
      </c>
    </row>
    <row r="1211" spans="2:8" hidden="1" outlineLevel="2" x14ac:dyDescent="0.25">
      <c r="B1211" s="1" t="s">
        <v>163</v>
      </c>
      <c r="C1211" s="191">
        <v>11155.31</v>
      </c>
      <c r="E1211" s="211">
        <v>0</v>
      </c>
      <c r="F1211" s="211">
        <v>0</v>
      </c>
      <c r="G1211" s="212">
        <f>+E1211*C1211</f>
        <v>0</v>
      </c>
      <c r="H1211" s="212">
        <f>+F1211*C1211</f>
        <v>0</v>
      </c>
    </row>
    <row r="1212" spans="2:8" hidden="1" outlineLevel="2" x14ac:dyDescent="0.25">
      <c r="B1212" s="1" t="s">
        <v>331</v>
      </c>
      <c r="C1212" s="191">
        <v>8306.69</v>
      </c>
      <c r="E1212" s="211">
        <v>0</v>
      </c>
      <c r="F1212" s="211">
        <v>0</v>
      </c>
      <c r="G1212" s="212">
        <f>+E1212*C1212</f>
        <v>0</v>
      </c>
      <c r="H1212" s="212">
        <f>+F1212*C1212</f>
        <v>0</v>
      </c>
    </row>
    <row r="1213" spans="2:8" hidden="1" outlineLevel="2" x14ac:dyDescent="0.25">
      <c r="B1213" s="1" t="s">
        <v>332</v>
      </c>
      <c r="C1213" s="191">
        <v>1060.23</v>
      </c>
      <c r="E1213" s="211">
        <v>0</v>
      </c>
      <c r="F1213" s="211">
        <v>0</v>
      </c>
      <c r="G1213" s="212">
        <f>+E1213*C1213</f>
        <v>0</v>
      </c>
      <c r="H1213" s="212">
        <f>+F1213*C1213</f>
        <v>0</v>
      </c>
    </row>
    <row r="1214" spans="2:8" hidden="1" outlineLevel="2" x14ac:dyDescent="0.25">
      <c r="B1214" s="1" t="s">
        <v>333</v>
      </c>
      <c r="C1214" s="191">
        <v>22015.54</v>
      </c>
      <c r="E1214" s="211">
        <v>0</v>
      </c>
      <c r="F1214" s="211">
        <v>0</v>
      </c>
      <c r="G1214" s="212">
        <f>+E1214*C1214</f>
        <v>0</v>
      </c>
      <c r="H1214" s="212">
        <f>+F1214*C1214</f>
        <v>0</v>
      </c>
    </row>
    <row r="1215" spans="2:8" hidden="1" outlineLevel="2" x14ac:dyDescent="0.25">
      <c r="B1215" s="1" t="s">
        <v>334</v>
      </c>
      <c r="C1215" s="191">
        <v>2269.54</v>
      </c>
      <c r="E1215" s="211">
        <v>0</v>
      </c>
      <c r="F1215" s="211">
        <v>0</v>
      </c>
      <c r="G1215" s="212">
        <f>+E1215*C1215</f>
        <v>0</v>
      </c>
      <c r="H1215" s="212">
        <f>+F1215*C1215</f>
        <v>0</v>
      </c>
    </row>
    <row r="1216" spans="2:8" hidden="1" outlineLevel="2" x14ac:dyDescent="0.25">
      <c r="B1216" s="1" t="s">
        <v>335</v>
      </c>
      <c r="C1216" s="191">
        <v>1319.5</v>
      </c>
      <c r="E1216" s="211">
        <v>0</v>
      </c>
      <c r="F1216" s="211">
        <v>0</v>
      </c>
      <c r="G1216" s="212">
        <f>+E1216*C1216</f>
        <v>0</v>
      </c>
      <c r="H1216" s="212">
        <f>+F1216*C1216</f>
        <v>0</v>
      </c>
    </row>
    <row r="1217" spans="2:8" hidden="1" outlineLevel="2" x14ac:dyDescent="0.25">
      <c r="B1217" s="1" t="s">
        <v>165</v>
      </c>
      <c r="C1217" s="191">
        <v>3628.43</v>
      </c>
      <c r="E1217" s="211">
        <v>0</v>
      </c>
      <c r="F1217" s="211">
        <v>0</v>
      </c>
      <c r="G1217" s="212">
        <f>+E1217*C1217</f>
        <v>0</v>
      </c>
      <c r="H1217" s="212">
        <f>+F1217*C1217</f>
        <v>0</v>
      </c>
    </row>
    <row r="1218" spans="2:8" hidden="1" outlineLevel="2" x14ac:dyDescent="0.25">
      <c r="B1218" s="1" t="s">
        <v>336</v>
      </c>
      <c r="C1218" s="191">
        <v>1314.66</v>
      </c>
      <c r="E1218" s="211">
        <v>0</v>
      </c>
      <c r="F1218" s="211">
        <v>0</v>
      </c>
      <c r="G1218" s="212">
        <f>+E1218*C1218</f>
        <v>0</v>
      </c>
      <c r="H1218" s="212">
        <f>+F1218*C1218</f>
        <v>0</v>
      </c>
    </row>
    <row r="1219" spans="2:8" hidden="1" outlineLevel="2" x14ac:dyDescent="0.25">
      <c r="B1219" s="1" t="s">
        <v>337</v>
      </c>
      <c r="C1219" s="191">
        <v>20441.740000000002</v>
      </c>
      <c r="E1219" s="211">
        <v>0</v>
      </c>
      <c r="F1219" s="211">
        <v>0</v>
      </c>
      <c r="G1219" s="212">
        <f>+E1219*C1219</f>
        <v>0</v>
      </c>
      <c r="H1219" s="212">
        <f>+F1219*C1219</f>
        <v>0</v>
      </c>
    </row>
    <row r="1220" spans="2:8" hidden="1" outlineLevel="2" x14ac:dyDescent="0.25">
      <c r="B1220" s="1" t="s">
        <v>167</v>
      </c>
      <c r="C1220" s="191">
        <v>57407.360000000001</v>
      </c>
      <c r="E1220" s="211">
        <v>0</v>
      </c>
      <c r="F1220" s="211">
        <v>0</v>
      </c>
      <c r="G1220" s="212">
        <f>+E1220*C1220</f>
        <v>0</v>
      </c>
      <c r="H1220" s="212">
        <f>+F1220*C1220</f>
        <v>0</v>
      </c>
    </row>
    <row r="1221" spans="2:8" hidden="1" outlineLevel="2" x14ac:dyDescent="0.25">
      <c r="B1221" s="1" t="s">
        <v>131</v>
      </c>
      <c r="C1221" s="191">
        <v>2378.69</v>
      </c>
      <c r="E1221" s="211">
        <v>0</v>
      </c>
      <c r="F1221" s="211">
        <v>0</v>
      </c>
      <c r="G1221" s="212">
        <f>+E1221*C1221</f>
        <v>0</v>
      </c>
      <c r="H1221" s="212">
        <f>+F1221*C1221</f>
        <v>0</v>
      </c>
    </row>
    <row r="1222" spans="2:8" hidden="1" outlineLevel="2" x14ac:dyDescent="0.25">
      <c r="B1222" s="1" t="s">
        <v>166</v>
      </c>
      <c r="C1222" s="191">
        <v>33366.230000000003</v>
      </c>
      <c r="E1222" s="211">
        <v>0</v>
      </c>
      <c r="F1222" s="211">
        <v>0</v>
      </c>
      <c r="G1222" s="212">
        <f>+E1222*C1222</f>
        <v>0</v>
      </c>
      <c r="H1222" s="212">
        <f>+F1222*C1222</f>
        <v>0</v>
      </c>
    </row>
    <row r="1223" spans="2:8" hidden="1" outlineLevel="2" x14ac:dyDescent="0.25">
      <c r="B1223" s="1" t="s">
        <v>168</v>
      </c>
      <c r="C1223" s="191">
        <v>4977.22</v>
      </c>
      <c r="E1223" s="211">
        <v>0</v>
      </c>
      <c r="F1223" s="211">
        <v>0</v>
      </c>
      <c r="G1223" s="212">
        <f>+E1223*C1223</f>
        <v>0</v>
      </c>
      <c r="H1223" s="212">
        <f>+F1223*C1223</f>
        <v>0</v>
      </c>
    </row>
    <row r="1224" spans="2:8" hidden="1" outlineLevel="2" x14ac:dyDescent="0.25">
      <c r="B1224" s="1" t="s">
        <v>169</v>
      </c>
      <c r="C1224" s="191">
        <v>5312.02</v>
      </c>
      <c r="E1224" s="211">
        <v>0</v>
      </c>
      <c r="F1224" s="211">
        <v>0</v>
      </c>
      <c r="G1224" s="212">
        <f>+E1224*C1224</f>
        <v>0</v>
      </c>
      <c r="H1224" s="212">
        <f>+F1224*C1224</f>
        <v>0</v>
      </c>
    </row>
    <row r="1225" spans="2:8" hidden="1" outlineLevel="2" x14ac:dyDescent="0.25">
      <c r="B1225" s="1" t="s">
        <v>338</v>
      </c>
      <c r="C1225" s="191">
        <v>717.18</v>
      </c>
      <c r="E1225" s="211">
        <v>0</v>
      </c>
      <c r="F1225" s="211">
        <v>0</v>
      </c>
      <c r="G1225" s="212">
        <f>+E1225*C1225</f>
        <v>0</v>
      </c>
      <c r="H1225" s="212">
        <f>+F1225*C1225</f>
        <v>0</v>
      </c>
    </row>
    <row r="1226" spans="2:8" hidden="1" outlineLevel="2" x14ac:dyDescent="0.25">
      <c r="B1226" s="1" t="s">
        <v>339</v>
      </c>
      <c r="C1226" s="191">
        <v>1532.33</v>
      </c>
      <c r="E1226" s="211">
        <v>0</v>
      </c>
      <c r="F1226" s="211">
        <v>0</v>
      </c>
      <c r="G1226" s="212">
        <f>+E1226*C1226</f>
        <v>0</v>
      </c>
      <c r="H1226" s="212">
        <f>+F1226*C1226</f>
        <v>0</v>
      </c>
    </row>
    <row r="1227" spans="2:8" hidden="1" outlineLevel="2" x14ac:dyDescent="0.25">
      <c r="B1227" s="1" t="s">
        <v>121</v>
      </c>
      <c r="C1227" s="191">
        <v>574.99</v>
      </c>
      <c r="E1227" s="211">
        <v>0</v>
      </c>
      <c r="F1227" s="211">
        <v>0</v>
      </c>
      <c r="G1227" s="212">
        <f>+E1227*C1227</f>
        <v>0</v>
      </c>
      <c r="H1227" s="212">
        <f>+F1227*C1227</f>
        <v>0</v>
      </c>
    </row>
    <row r="1228" spans="2:8" hidden="1" outlineLevel="2" x14ac:dyDescent="0.25">
      <c r="B1228" s="1" t="s">
        <v>340</v>
      </c>
      <c r="C1228" s="191">
        <v>402.9</v>
      </c>
      <c r="E1228" s="211">
        <v>0</v>
      </c>
      <c r="F1228" s="211">
        <v>0</v>
      </c>
      <c r="G1228" s="212">
        <f>+E1228*C1228</f>
        <v>0</v>
      </c>
      <c r="H1228" s="212">
        <f>+F1228*C1228</f>
        <v>0</v>
      </c>
    </row>
    <row r="1229" spans="2:8" hidden="1" outlineLevel="2" x14ac:dyDescent="0.25">
      <c r="B1229" s="1" t="s">
        <v>341</v>
      </c>
      <c r="C1229" s="191">
        <v>476.74</v>
      </c>
      <c r="E1229" s="211">
        <v>0</v>
      </c>
      <c r="F1229" s="211">
        <v>0</v>
      </c>
      <c r="G1229" s="212">
        <f>+E1229*C1229</f>
        <v>0</v>
      </c>
      <c r="H1229" s="212">
        <f>+F1229*C1229</f>
        <v>0</v>
      </c>
    </row>
    <row r="1230" spans="2:8" hidden="1" outlineLevel="2" x14ac:dyDescent="0.25">
      <c r="B1230" s="1" t="s">
        <v>124</v>
      </c>
      <c r="C1230" s="191">
        <v>574.99</v>
      </c>
      <c r="E1230" s="211">
        <v>0</v>
      </c>
      <c r="F1230" s="211">
        <v>0</v>
      </c>
      <c r="G1230" s="212">
        <f>+E1230*C1230</f>
        <v>0</v>
      </c>
      <c r="H1230" s="212">
        <f>+F1230*C1230</f>
        <v>0</v>
      </c>
    </row>
    <row r="1231" spans="2:8" hidden="1" outlineLevel="1" collapsed="1" x14ac:dyDescent="0.25">
      <c r="B1231" s="207" t="s">
        <v>174</v>
      </c>
      <c r="C1231" s="208">
        <v>226919.92</v>
      </c>
      <c r="E1231" s="209"/>
      <c r="F1231" s="209"/>
      <c r="G1231" s="210"/>
      <c r="H1231" s="210"/>
    </row>
    <row r="1232" spans="2:8" hidden="1" outlineLevel="2" x14ac:dyDescent="0.25">
      <c r="B1232" s="1" t="s">
        <v>175</v>
      </c>
      <c r="C1232" s="191">
        <v>0</v>
      </c>
      <c r="E1232" s="211">
        <v>0</v>
      </c>
      <c r="F1232" s="211">
        <v>0</v>
      </c>
      <c r="G1232" s="212">
        <f>+E1232*C1232</f>
        <v>0</v>
      </c>
      <c r="H1232" s="212">
        <f>+F1232*C1232</f>
        <v>0</v>
      </c>
    </row>
    <row r="1233" spans="2:8" hidden="1" outlineLevel="2" x14ac:dyDescent="0.25">
      <c r="B1233" s="1" t="s">
        <v>138</v>
      </c>
      <c r="C1233" s="191">
        <v>28730.91</v>
      </c>
      <c r="E1233" s="211">
        <v>0</v>
      </c>
      <c r="F1233" s="211">
        <v>0</v>
      </c>
      <c r="G1233" s="212">
        <f>+E1233*C1233</f>
        <v>0</v>
      </c>
      <c r="H1233" s="212">
        <f>+F1233*C1233</f>
        <v>0</v>
      </c>
    </row>
    <row r="1234" spans="2:8" hidden="1" outlineLevel="2" x14ac:dyDescent="0.25">
      <c r="B1234" s="1" t="s">
        <v>139</v>
      </c>
      <c r="C1234" s="191">
        <v>13836.35</v>
      </c>
      <c r="E1234" s="211">
        <v>0</v>
      </c>
      <c r="F1234" s="211">
        <v>0</v>
      </c>
      <c r="G1234" s="212">
        <f>+E1234*C1234</f>
        <v>0</v>
      </c>
      <c r="H1234" s="212">
        <f>+F1234*C1234</f>
        <v>0</v>
      </c>
    </row>
    <row r="1235" spans="2:8" hidden="1" outlineLevel="2" x14ac:dyDescent="0.25">
      <c r="B1235" s="1" t="s">
        <v>141</v>
      </c>
      <c r="C1235" s="191">
        <v>4849.9399999999996</v>
      </c>
      <c r="E1235" s="211">
        <v>0</v>
      </c>
      <c r="F1235" s="211">
        <v>0</v>
      </c>
      <c r="G1235" s="212">
        <f>+E1235*C1235</f>
        <v>0</v>
      </c>
      <c r="H1235" s="212">
        <f>+F1235*C1235</f>
        <v>0</v>
      </c>
    </row>
    <row r="1236" spans="2:8" hidden="1" outlineLevel="2" x14ac:dyDescent="0.25">
      <c r="B1236" s="1" t="s">
        <v>142</v>
      </c>
      <c r="C1236" s="191">
        <v>7235.14</v>
      </c>
      <c r="E1236" s="211">
        <v>0</v>
      </c>
      <c r="F1236" s="211">
        <v>0</v>
      </c>
      <c r="G1236" s="212">
        <f>+E1236*C1236</f>
        <v>0</v>
      </c>
      <c r="H1236" s="212">
        <f>+F1236*C1236</f>
        <v>0</v>
      </c>
    </row>
    <row r="1237" spans="2:8" hidden="1" outlineLevel="2" x14ac:dyDescent="0.25">
      <c r="B1237" s="1" t="s">
        <v>342</v>
      </c>
      <c r="C1237" s="191">
        <v>3264.93</v>
      </c>
      <c r="E1237" s="211">
        <v>0</v>
      </c>
      <c r="F1237" s="211">
        <v>0</v>
      </c>
      <c r="G1237" s="212">
        <f>+E1237*C1237</f>
        <v>0</v>
      </c>
      <c r="H1237" s="212">
        <f>+F1237*C1237</f>
        <v>0</v>
      </c>
    </row>
    <row r="1238" spans="2:8" hidden="1" outlineLevel="2" x14ac:dyDescent="0.25">
      <c r="B1238" s="1" t="s">
        <v>343</v>
      </c>
      <c r="C1238" s="191">
        <v>14238.46</v>
      </c>
      <c r="E1238" s="211">
        <v>0</v>
      </c>
      <c r="F1238" s="211">
        <v>0</v>
      </c>
      <c r="G1238" s="212">
        <f>+E1238*C1238</f>
        <v>0</v>
      </c>
      <c r="H1238" s="212">
        <f>+F1238*C1238</f>
        <v>0</v>
      </c>
    </row>
    <row r="1239" spans="2:8" hidden="1" outlineLevel="2" x14ac:dyDescent="0.25">
      <c r="B1239" s="1" t="s">
        <v>146</v>
      </c>
      <c r="C1239" s="191">
        <v>25086.720000000001</v>
      </c>
      <c r="E1239" s="211">
        <v>0</v>
      </c>
      <c r="F1239" s="211">
        <v>0</v>
      </c>
      <c r="G1239" s="212">
        <f>+E1239*C1239</f>
        <v>0</v>
      </c>
      <c r="H1239" s="212">
        <f>+F1239*C1239</f>
        <v>0</v>
      </c>
    </row>
    <row r="1240" spans="2:8" hidden="1" outlineLevel="2" x14ac:dyDescent="0.25">
      <c r="B1240" s="1" t="s">
        <v>147</v>
      </c>
      <c r="C1240" s="191">
        <v>18304.060000000001</v>
      </c>
      <c r="E1240" s="211">
        <v>0</v>
      </c>
      <c r="F1240" s="211">
        <v>0</v>
      </c>
      <c r="G1240" s="212">
        <f>+E1240*C1240</f>
        <v>0</v>
      </c>
      <c r="H1240" s="212">
        <f>+F1240*C1240</f>
        <v>0</v>
      </c>
    </row>
    <row r="1241" spans="2:8" hidden="1" outlineLevel="2" x14ac:dyDescent="0.25">
      <c r="B1241" s="1" t="s">
        <v>148</v>
      </c>
      <c r="C1241" s="191">
        <v>20409.62</v>
      </c>
      <c r="E1241" s="211">
        <v>0</v>
      </c>
      <c r="F1241" s="211">
        <v>0</v>
      </c>
      <c r="G1241" s="212">
        <f>+E1241*C1241</f>
        <v>0</v>
      </c>
      <c r="H1241" s="212">
        <f>+F1241*C1241</f>
        <v>0</v>
      </c>
    </row>
    <row r="1242" spans="2:8" hidden="1" outlineLevel="2" x14ac:dyDescent="0.25">
      <c r="B1242" s="1" t="s">
        <v>149</v>
      </c>
      <c r="C1242" s="191">
        <v>38435.51</v>
      </c>
      <c r="E1242" s="211">
        <v>0</v>
      </c>
      <c r="F1242" s="211">
        <v>0</v>
      </c>
      <c r="G1242" s="212">
        <f>+E1242*C1242</f>
        <v>0</v>
      </c>
      <c r="H1242" s="212">
        <f>+F1242*C1242</f>
        <v>0</v>
      </c>
    </row>
    <row r="1243" spans="2:8" hidden="1" outlineLevel="2" x14ac:dyDescent="0.25">
      <c r="B1243" s="1" t="s">
        <v>176</v>
      </c>
      <c r="C1243" s="191">
        <v>51569.72</v>
      </c>
      <c r="E1243" s="211">
        <v>0</v>
      </c>
      <c r="F1243" s="211">
        <v>0</v>
      </c>
      <c r="G1243" s="212">
        <f>+E1243*C1243</f>
        <v>0</v>
      </c>
      <c r="H1243" s="212">
        <f>+F1243*C1243</f>
        <v>0</v>
      </c>
    </row>
    <row r="1244" spans="2:8" hidden="1" outlineLevel="2" x14ac:dyDescent="0.25">
      <c r="B1244" s="1" t="s">
        <v>344</v>
      </c>
      <c r="C1244" s="191">
        <v>958.56</v>
      </c>
      <c r="E1244" s="211">
        <v>0</v>
      </c>
      <c r="F1244" s="211">
        <v>0</v>
      </c>
      <c r="G1244" s="212">
        <f>+E1244*C1244</f>
        <v>0</v>
      </c>
      <c r="H1244" s="212">
        <f>+F1244*C1244</f>
        <v>0</v>
      </c>
    </row>
    <row r="1245" spans="2:8" hidden="1" outlineLevel="1" collapsed="1" x14ac:dyDescent="0.25">
      <c r="B1245" s="207" t="s">
        <v>177</v>
      </c>
      <c r="C1245" s="208">
        <v>126484.85</v>
      </c>
      <c r="E1245" s="209"/>
      <c r="F1245" s="209"/>
      <c r="G1245" s="210"/>
      <c r="H1245" s="210"/>
    </row>
    <row r="1246" spans="2:8" hidden="1" outlineLevel="2" x14ac:dyDescent="0.25">
      <c r="B1246" s="1" t="s">
        <v>178</v>
      </c>
      <c r="C1246" s="191">
        <v>7848.02</v>
      </c>
      <c r="E1246" s="211">
        <v>0</v>
      </c>
      <c r="F1246" s="211">
        <v>0</v>
      </c>
      <c r="G1246" s="212">
        <f>+E1246*C1246</f>
        <v>0</v>
      </c>
      <c r="H1246" s="212">
        <f>+F1246*C1246</f>
        <v>0</v>
      </c>
    </row>
    <row r="1247" spans="2:8" hidden="1" outlineLevel="2" x14ac:dyDescent="0.25">
      <c r="B1247" s="1" t="s">
        <v>345</v>
      </c>
      <c r="C1247" s="191">
        <v>9347.3799999999992</v>
      </c>
      <c r="E1247" s="211">
        <v>0</v>
      </c>
      <c r="F1247" s="211">
        <v>0</v>
      </c>
      <c r="G1247" s="212">
        <f>+E1247*C1247</f>
        <v>0</v>
      </c>
      <c r="H1247" s="212">
        <f>+F1247*C1247</f>
        <v>0</v>
      </c>
    </row>
    <row r="1248" spans="2:8" hidden="1" outlineLevel="2" x14ac:dyDescent="0.25">
      <c r="B1248" s="1" t="s">
        <v>346</v>
      </c>
      <c r="C1248" s="191">
        <v>2564.4</v>
      </c>
      <c r="E1248" s="211">
        <v>0</v>
      </c>
      <c r="F1248" s="211">
        <v>0</v>
      </c>
      <c r="G1248" s="212">
        <f>+E1248*C1248</f>
        <v>0</v>
      </c>
      <c r="H1248" s="212">
        <f>+F1248*C1248</f>
        <v>0</v>
      </c>
    </row>
    <row r="1249" spans="2:8" hidden="1" outlineLevel="2" x14ac:dyDescent="0.25">
      <c r="B1249" s="1" t="s">
        <v>347</v>
      </c>
      <c r="C1249" s="191">
        <v>1710.04</v>
      </c>
      <c r="E1249" s="211">
        <v>0</v>
      </c>
      <c r="F1249" s="211">
        <v>0</v>
      </c>
      <c r="G1249" s="212">
        <f>+E1249*C1249</f>
        <v>0</v>
      </c>
      <c r="H1249" s="212">
        <f>+F1249*C1249</f>
        <v>0</v>
      </c>
    </row>
    <row r="1250" spans="2:8" hidden="1" outlineLevel="2" x14ac:dyDescent="0.25">
      <c r="B1250" s="1" t="s">
        <v>348</v>
      </c>
      <c r="C1250" s="191">
        <v>872.84</v>
      </c>
      <c r="E1250" s="211">
        <v>0</v>
      </c>
      <c r="F1250" s="211">
        <v>0</v>
      </c>
      <c r="G1250" s="212">
        <f>+E1250*C1250</f>
        <v>0</v>
      </c>
      <c r="H1250" s="212">
        <f>+F1250*C1250</f>
        <v>0</v>
      </c>
    </row>
    <row r="1251" spans="2:8" hidden="1" outlineLevel="2" x14ac:dyDescent="0.25">
      <c r="B1251" s="1" t="s">
        <v>349</v>
      </c>
      <c r="C1251" s="191">
        <v>463.16</v>
      </c>
      <c r="E1251" s="211">
        <v>0</v>
      </c>
      <c r="F1251" s="211">
        <v>0</v>
      </c>
      <c r="G1251" s="212">
        <f>+E1251*C1251</f>
        <v>0</v>
      </c>
      <c r="H1251" s="212">
        <f>+F1251*C1251</f>
        <v>0</v>
      </c>
    </row>
    <row r="1252" spans="2:8" hidden="1" outlineLevel="2" x14ac:dyDescent="0.25">
      <c r="B1252" s="1" t="s">
        <v>350</v>
      </c>
      <c r="C1252" s="191">
        <v>1923.92</v>
      </c>
      <c r="E1252" s="211">
        <v>0</v>
      </c>
      <c r="F1252" s="211">
        <v>0</v>
      </c>
      <c r="G1252" s="212">
        <f>+E1252*C1252</f>
        <v>0</v>
      </c>
      <c r="H1252" s="212">
        <f>+F1252*C1252</f>
        <v>0</v>
      </c>
    </row>
    <row r="1253" spans="2:8" hidden="1" outlineLevel="2" x14ac:dyDescent="0.25">
      <c r="B1253" s="1" t="s">
        <v>351</v>
      </c>
      <c r="C1253" s="191">
        <v>1683.57</v>
      </c>
      <c r="E1253" s="211">
        <v>0</v>
      </c>
      <c r="F1253" s="211">
        <v>0</v>
      </c>
      <c r="G1253" s="212">
        <f>+E1253*C1253</f>
        <v>0</v>
      </c>
      <c r="H1253" s="212">
        <f>+F1253*C1253</f>
        <v>0</v>
      </c>
    </row>
    <row r="1254" spans="2:8" hidden="1" outlineLevel="2" x14ac:dyDescent="0.25">
      <c r="B1254" s="1" t="s">
        <v>181</v>
      </c>
      <c r="C1254" s="191">
        <v>3634.5</v>
      </c>
      <c r="E1254" s="211">
        <v>0</v>
      </c>
      <c r="F1254" s="211">
        <v>0</v>
      </c>
      <c r="G1254" s="212">
        <f>+E1254*C1254</f>
        <v>0</v>
      </c>
      <c r="H1254" s="212">
        <f>+F1254*C1254</f>
        <v>0</v>
      </c>
    </row>
    <row r="1255" spans="2:8" hidden="1" outlineLevel="2" x14ac:dyDescent="0.25">
      <c r="B1255" s="1" t="s">
        <v>352</v>
      </c>
      <c r="C1255" s="191">
        <v>4115.76</v>
      </c>
      <c r="E1255" s="211">
        <v>0</v>
      </c>
      <c r="F1255" s="211">
        <v>0</v>
      </c>
      <c r="G1255" s="212">
        <f>+E1255*C1255</f>
        <v>0</v>
      </c>
      <c r="H1255" s="212">
        <f>+F1255*C1255</f>
        <v>0</v>
      </c>
    </row>
    <row r="1256" spans="2:8" hidden="1" outlineLevel="2" x14ac:dyDescent="0.25">
      <c r="B1256" s="1" t="s">
        <v>353</v>
      </c>
      <c r="C1256" s="191">
        <v>6948.8</v>
      </c>
      <c r="E1256" s="211">
        <v>0</v>
      </c>
      <c r="F1256" s="211">
        <v>0</v>
      </c>
      <c r="G1256" s="212">
        <f>+E1256*C1256</f>
        <v>0</v>
      </c>
      <c r="H1256" s="212">
        <f>+F1256*C1256</f>
        <v>0</v>
      </c>
    </row>
    <row r="1257" spans="2:8" hidden="1" outlineLevel="2" x14ac:dyDescent="0.25">
      <c r="B1257" s="1" t="s">
        <v>354</v>
      </c>
      <c r="C1257" s="191">
        <v>7983.2</v>
      </c>
      <c r="E1257" s="211">
        <v>0</v>
      </c>
      <c r="F1257" s="211">
        <v>0</v>
      </c>
      <c r="G1257" s="212">
        <f>+E1257*C1257</f>
        <v>0</v>
      </c>
      <c r="H1257" s="212">
        <f>+F1257*C1257</f>
        <v>0</v>
      </c>
    </row>
    <row r="1258" spans="2:8" hidden="1" outlineLevel="2" x14ac:dyDescent="0.25">
      <c r="B1258" s="1" t="s">
        <v>186</v>
      </c>
      <c r="C1258" s="191">
        <v>17107.439999999999</v>
      </c>
      <c r="E1258" s="211">
        <v>0</v>
      </c>
      <c r="F1258" s="211">
        <v>0</v>
      </c>
      <c r="G1258" s="212">
        <f>+E1258*C1258</f>
        <v>0</v>
      </c>
      <c r="H1258" s="212">
        <f>+F1258*C1258</f>
        <v>0</v>
      </c>
    </row>
    <row r="1259" spans="2:8" hidden="1" outlineLevel="2" x14ac:dyDescent="0.25">
      <c r="B1259" s="1" t="s">
        <v>165</v>
      </c>
      <c r="C1259" s="191">
        <v>3974.1</v>
      </c>
      <c r="E1259" s="211">
        <v>0</v>
      </c>
      <c r="F1259" s="211">
        <v>0</v>
      </c>
      <c r="G1259" s="212">
        <f>+E1259*C1259</f>
        <v>0</v>
      </c>
      <c r="H1259" s="212">
        <f>+F1259*C1259</f>
        <v>0</v>
      </c>
    </row>
    <row r="1260" spans="2:8" hidden="1" outlineLevel="2" x14ac:dyDescent="0.25">
      <c r="B1260" s="1" t="s">
        <v>187</v>
      </c>
      <c r="C1260" s="191">
        <v>27590.82</v>
      </c>
      <c r="E1260" s="211">
        <v>0</v>
      </c>
      <c r="F1260" s="211">
        <v>0</v>
      </c>
      <c r="G1260" s="212">
        <f>+E1260*C1260</f>
        <v>0</v>
      </c>
      <c r="H1260" s="212">
        <f>+F1260*C1260</f>
        <v>0</v>
      </c>
    </row>
    <row r="1261" spans="2:8" hidden="1" outlineLevel="2" x14ac:dyDescent="0.25">
      <c r="B1261" s="1" t="s">
        <v>131</v>
      </c>
      <c r="C1261" s="191">
        <v>2488.67</v>
      </c>
      <c r="E1261" s="211">
        <v>0</v>
      </c>
      <c r="F1261" s="211">
        <v>0</v>
      </c>
      <c r="G1261" s="212">
        <f>+E1261*C1261</f>
        <v>0</v>
      </c>
      <c r="H1261" s="212">
        <f>+F1261*C1261</f>
        <v>0</v>
      </c>
    </row>
    <row r="1262" spans="2:8" hidden="1" outlineLevel="2" x14ac:dyDescent="0.25">
      <c r="B1262" s="1" t="s">
        <v>166</v>
      </c>
      <c r="C1262" s="191">
        <v>24031.53</v>
      </c>
      <c r="E1262" s="211">
        <v>0</v>
      </c>
      <c r="F1262" s="211">
        <v>0</v>
      </c>
      <c r="G1262" s="212">
        <f>+E1262*C1262</f>
        <v>0</v>
      </c>
      <c r="H1262" s="212">
        <f>+F1262*C1262</f>
        <v>0</v>
      </c>
    </row>
    <row r="1263" spans="2:8" hidden="1" outlineLevel="2" x14ac:dyDescent="0.25">
      <c r="B1263" s="1" t="s">
        <v>188</v>
      </c>
      <c r="C1263" s="191">
        <v>2196.6999999999998</v>
      </c>
      <c r="E1263" s="211">
        <v>0</v>
      </c>
      <c r="F1263" s="211">
        <v>0</v>
      </c>
      <c r="G1263" s="212">
        <f>+E1263*C1263</f>
        <v>0</v>
      </c>
      <c r="H1263" s="212">
        <f>+F1263*C1263</f>
        <v>0</v>
      </c>
    </row>
    <row r="1264" spans="2:8" hidden="1" outlineLevel="1" collapsed="1" x14ac:dyDescent="0.25">
      <c r="B1264" s="207" t="s">
        <v>189</v>
      </c>
      <c r="C1264" s="208">
        <v>90820.99</v>
      </c>
      <c r="E1264" s="209"/>
      <c r="F1264" s="209"/>
      <c r="G1264" s="210"/>
      <c r="H1264" s="210"/>
    </row>
    <row r="1265" spans="2:8" hidden="1" outlineLevel="2" x14ac:dyDescent="0.25">
      <c r="B1265" s="1" t="s">
        <v>138</v>
      </c>
      <c r="C1265" s="191">
        <v>4464.6000000000004</v>
      </c>
      <c r="E1265" s="211">
        <v>0</v>
      </c>
      <c r="F1265" s="211">
        <v>0</v>
      </c>
      <c r="G1265" s="212">
        <f>+E1265*C1265</f>
        <v>0</v>
      </c>
      <c r="H1265" s="212">
        <f>+F1265*C1265</f>
        <v>0</v>
      </c>
    </row>
    <row r="1266" spans="2:8" hidden="1" outlineLevel="2" x14ac:dyDescent="0.25">
      <c r="B1266" s="1" t="s">
        <v>190</v>
      </c>
      <c r="C1266" s="191">
        <v>14239.78</v>
      </c>
      <c r="E1266" s="211">
        <v>0</v>
      </c>
      <c r="F1266" s="211">
        <v>0</v>
      </c>
      <c r="G1266" s="212">
        <f>+E1266*C1266</f>
        <v>0</v>
      </c>
      <c r="H1266" s="212">
        <f>+F1266*C1266</f>
        <v>0</v>
      </c>
    </row>
    <row r="1267" spans="2:8" hidden="1" outlineLevel="2" x14ac:dyDescent="0.25">
      <c r="B1267" s="1" t="s">
        <v>355</v>
      </c>
      <c r="C1267" s="191">
        <v>20649.03</v>
      </c>
      <c r="E1267" s="211">
        <v>0</v>
      </c>
      <c r="F1267" s="211">
        <v>0</v>
      </c>
      <c r="G1267" s="212">
        <f>+E1267*C1267</f>
        <v>0</v>
      </c>
      <c r="H1267" s="212">
        <f>+F1267*C1267</f>
        <v>0</v>
      </c>
    </row>
    <row r="1268" spans="2:8" hidden="1" outlineLevel="2" x14ac:dyDescent="0.25">
      <c r="B1268" s="1" t="s">
        <v>192</v>
      </c>
      <c r="C1268" s="191">
        <v>4296.96</v>
      </c>
      <c r="E1268" s="211">
        <v>0</v>
      </c>
      <c r="F1268" s="211">
        <v>0</v>
      </c>
      <c r="G1268" s="212">
        <f>+E1268*C1268</f>
        <v>0</v>
      </c>
      <c r="H1268" s="212">
        <f>+F1268*C1268</f>
        <v>0</v>
      </c>
    </row>
    <row r="1269" spans="2:8" hidden="1" outlineLevel="2" x14ac:dyDescent="0.25">
      <c r="B1269" s="1" t="s">
        <v>356</v>
      </c>
      <c r="C1269" s="191">
        <v>2318.3200000000002</v>
      </c>
      <c r="E1269" s="211">
        <v>0</v>
      </c>
      <c r="F1269" s="211">
        <v>0</v>
      </c>
      <c r="G1269" s="212">
        <f>+E1269*C1269</f>
        <v>0</v>
      </c>
      <c r="H1269" s="212">
        <f>+F1269*C1269</f>
        <v>0</v>
      </c>
    </row>
    <row r="1270" spans="2:8" hidden="1" outlineLevel="2" x14ac:dyDescent="0.25">
      <c r="B1270" s="1" t="s">
        <v>193</v>
      </c>
      <c r="C1270" s="191">
        <v>5749.92</v>
      </c>
      <c r="E1270" s="211">
        <v>0</v>
      </c>
      <c r="F1270" s="211">
        <v>0</v>
      </c>
      <c r="G1270" s="212">
        <f>+E1270*C1270</f>
        <v>0</v>
      </c>
      <c r="H1270" s="212">
        <f>+F1270*C1270</f>
        <v>0</v>
      </c>
    </row>
    <row r="1271" spans="2:8" hidden="1" outlineLevel="2" x14ac:dyDescent="0.25">
      <c r="B1271" s="1" t="s">
        <v>357</v>
      </c>
      <c r="C1271" s="191">
        <v>36613.71</v>
      </c>
      <c r="E1271" s="211">
        <v>0</v>
      </c>
      <c r="F1271" s="211">
        <v>0</v>
      </c>
      <c r="G1271" s="212">
        <f>+E1271*C1271</f>
        <v>0</v>
      </c>
      <c r="H1271" s="212">
        <f>+F1271*C1271</f>
        <v>0</v>
      </c>
    </row>
    <row r="1272" spans="2:8" hidden="1" outlineLevel="2" x14ac:dyDescent="0.25">
      <c r="B1272" s="1" t="s">
        <v>131</v>
      </c>
      <c r="C1272" s="191">
        <v>2488.67</v>
      </c>
      <c r="E1272" s="211">
        <v>0</v>
      </c>
      <c r="F1272" s="211">
        <v>0</v>
      </c>
      <c r="G1272" s="212">
        <f>+E1272*C1272</f>
        <v>0</v>
      </c>
      <c r="H1272" s="212">
        <f>+F1272*C1272</f>
        <v>0</v>
      </c>
    </row>
    <row r="1273" spans="2:8" hidden="1" outlineLevel="1" collapsed="1" x14ac:dyDescent="0.25">
      <c r="B1273" s="207" t="s">
        <v>195</v>
      </c>
      <c r="C1273" s="208">
        <v>7350.66</v>
      </c>
      <c r="E1273" s="209"/>
      <c r="F1273" s="209"/>
      <c r="G1273" s="210"/>
      <c r="H1273" s="210"/>
    </row>
    <row r="1274" spans="2:8" hidden="1" outlineLevel="2" x14ac:dyDescent="0.25">
      <c r="B1274" s="1" t="s">
        <v>196</v>
      </c>
      <c r="C1274" s="191">
        <v>5509.8</v>
      </c>
      <c r="E1274" s="211">
        <v>0</v>
      </c>
      <c r="F1274" s="211">
        <v>0</v>
      </c>
      <c r="G1274" s="212">
        <f>+E1274*C1274</f>
        <v>0</v>
      </c>
      <c r="H1274" s="212">
        <f>+F1274*C1274</f>
        <v>0</v>
      </c>
    </row>
    <row r="1275" spans="2:8" hidden="1" outlineLevel="2" x14ac:dyDescent="0.25">
      <c r="B1275" s="1" t="s">
        <v>197</v>
      </c>
      <c r="C1275" s="191">
        <v>1840.86</v>
      </c>
      <c r="E1275" s="211">
        <v>0</v>
      </c>
      <c r="F1275" s="211">
        <v>0</v>
      </c>
      <c r="G1275" s="212">
        <f>+E1275*C1275</f>
        <v>0</v>
      </c>
      <c r="H1275" s="212">
        <f>+F1275*C1275</f>
        <v>0</v>
      </c>
    </row>
    <row r="1276" spans="2:8" hidden="1" outlineLevel="1" collapsed="1" x14ac:dyDescent="0.25">
      <c r="B1276" s="207" t="s">
        <v>198</v>
      </c>
      <c r="C1276" s="208">
        <v>25050.720000000001</v>
      </c>
      <c r="E1276" s="209"/>
      <c r="F1276" s="209"/>
      <c r="G1276" s="210"/>
      <c r="H1276" s="210"/>
    </row>
    <row r="1277" spans="2:8" hidden="1" outlineLevel="2" x14ac:dyDescent="0.25">
      <c r="B1277" s="1" t="s">
        <v>199</v>
      </c>
      <c r="C1277" s="191">
        <v>3716.95</v>
      </c>
      <c r="E1277" s="211">
        <v>0</v>
      </c>
      <c r="F1277" s="211">
        <v>0</v>
      </c>
      <c r="G1277" s="212">
        <f>+E1277*C1277</f>
        <v>0</v>
      </c>
      <c r="H1277" s="212">
        <f>+F1277*C1277</f>
        <v>0</v>
      </c>
    </row>
    <row r="1278" spans="2:8" hidden="1" outlineLevel="2" x14ac:dyDescent="0.25">
      <c r="B1278" s="1" t="s">
        <v>200</v>
      </c>
      <c r="C1278" s="191">
        <v>21333.77</v>
      </c>
      <c r="E1278" s="211">
        <v>0</v>
      </c>
      <c r="F1278" s="211">
        <v>0</v>
      </c>
      <c r="G1278" s="212">
        <f>+E1278*C1278</f>
        <v>0</v>
      </c>
      <c r="H1278" s="212">
        <f>+F1278*C1278</f>
        <v>0</v>
      </c>
    </row>
    <row r="1279" spans="2:8" hidden="1" outlineLevel="1" collapsed="1" x14ac:dyDescent="0.25">
      <c r="B1279" s="207" t="s">
        <v>201</v>
      </c>
      <c r="C1279" s="208">
        <v>188894.05</v>
      </c>
      <c r="E1279" s="209"/>
      <c r="F1279" s="209"/>
      <c r="G1279" s="210"/>
      <c r="H1279" s="210"/>
    </row>
    <row r="1280" spans="2:8" hidden="1" outlineLevel="2" x14ac:dyDescent="0.25">
      <c r="B1280" s="1" t="s">
        <v>202</v>
      </c>
      <c r="C1280" s="191">
        <v>2170.59</v>
      </c>
      <c r="E1280" s="211">
        <v>0</v>
      </c>
      <c r="F1280" s="211">
        <v>0</v>
      </c>
      <c r="G1280" s="212">
        <f>+E1280*C1280</f>
        <v>0</v>
      </c>
      <c r="H1280" s="212">
        <f>+F1280*C1280</f>
        <v>0</v>
      </c>
    </row>
    <row r="1281" spans="2:8" hidden="1" outlineLevel="2" x14ac:dyDescent="0.25">
      <c r="B1281" s="1" t="s">
        <v>358</v>
      </c>
      <c r="C1281" s="191">
        <v>0</v>
      </c>
      <c r="E1281" s="211">
        <v>0</v>
      </c>
      <c r="F1281" s="211">
        <v>0</v>
      </c>
      <c r="G1281" s="212">
        <f>+E1281*C1281</f>
        <v>0</v>
      </c>
      <c r="H1281" s="212">
        <f>+F1281*C1281</f>
        <v>0</v>
      </c>
    </row>
    <row r="1282" spans="2:8" hidden="1" outlineLevel="2" x14ac:dyDescent="0.25">
      <c r="B1282" s="1" t="s">
        <v>359</v>
      </c>
      <c r="C1282" s="191">
        <v>9159.15</v>
      </c>
      <c r="E1282" s="211">
        <v>0</v>
      </c>
      <c r="F1282" s="211">
        <v>0</v>
      </c>
      <c r="G1282" s="212">
        <f>+E1282*C1282</f>
        <v>0</v>
      </c>
      <c r="H1282" s="212">
        <f>+F1282*C1282</f>
        <v>0</v>
      </c>
    </row>
    <row r="1283" spans="2:8" hidden="1" outlineLevel="2" x14ac:dyDescent="0.25">
      <c r="B1283" s="1" t="s">
        <v>360</v>
      </c>
      <c r="C1283" s="191">
        <v>6332.5</v>
      </c>
      <c r="E1283" s="211">
        <v>0</v>
      </c>
      <c r="F1283" s="211">
        <v>0</v>
      </c>
      <c r="G1283" s="212">
        <f>+E1283*C1283</f>
        <v>0</v>
      </c>
      <c r="H1283" s="212">
        <f>+F1283*C1283</f>
        <v>0</v>
      </c>
    </row>
    <row r="1284" spans="2:8" hidden="1" outlineLevel="2" x14ac:dyDescent="0.25">
      <c r="B1284" s="1" t="s">
        <v>361</v>
      </c>
      <c r="C1284" s="191">
        <v>1656.86</v>
      </c>
      <c r="E1284" s="211">
        <v>0</v>
      </c>
      <c r="F1284" s="211">
        <v>0</v>
      </c>
      <c r="G1284" s="212">
        <f>+E1284*C1284</f>
        <v>0</v>
      </c>
      <c r="H1284" s="212">
        <f>+F1284*C1284</f>
        <v>0</v>
      </c>
    </row>
    <row r="1285" spans="2:8" hidden="1" outlineLevel="2" x14ac:dyDescent="0.25">
      <c r="B1285" s="1" t="s">
        <v>362</v>
      </c>
      <c r="C1285" s="191">
        <v>261.52999999999997</v>
      </c>
      <c r="E1285" s="211">
        <v>0</v>
      </c>
      <c r="F1285" s="211">
        <v>0</v>
      </c>
      <c r="G1285" s="212">
        <f>+E1285*C1285</f>
        <v>0</v>
      </c>
      <c r="H1285" s="212">
        <f>+F1285*C1285</f>
        <v>0</v>
      </c>
    </row>
    <row r="1286" spans="2:8" hidden="1" outlineLevel="2" x14ac:dyDescent="0.25">
      <c r="B1286" s="1" t="s">
        <v>363</v>
      </c>
      <c r="C1286" s="191">
        <v>1615.32</v>
      </c>
      <c r="E1286" s="211">
        <v>0</v>
      </c>
      <c r="F1286" s="211">
        <v>0</v>
      </c>
      <c r="G1286" s="212">
        <f>+E1286*C1286</f>
        <v>0</v>
      </c>
      <c r="H1286" s="212">
        <f>+F1286*C1286</f>
        <v>0</v>
      </c>
    </row>
    <row r="1287" spans="2:8" hidden="1" outlineLevel="2" x14ac:dyDescent="0.25">
      <c r="B1287" s="1" t="s">
        <v>203</v>
      </c>
      <c r="C1287" s="191">
        <v>3892.35</v>
      </c>
      <c r="E1287" s="211">
        <v>0</v>
      </c>
      <c r="F1287" s="211">
        <v>0</v>
      </c>
      <c r="G1287" s="212">
        <f>+E1287*C1287</f>
        <v>0</v>
      </c>
      <c r="H1287" s="212">
        <f>+F1287*C1287</f>
        <v>0</v>
      </c>
    </row>
    <row r="1288" spans="2:8" hidden="1" outlineLevel="2" x14ac:dyDescent="0.25">
      <c r="B1288" s="1" t="s">
        <v>204</v>
      </c>
      <c r="C1288" s="191">
        <v>103.26</v>
      </c>
      <c r="E1288" s="211">
        <v>0</v>
      </c>
      <c r="F1288" s="211">
        <v>0</v>
      </c>
      <c r="G1288" s="212">
        <f>+E1288*C1288</f>
        <v>0</v>
      </c>
      <c r="H1288" s="212">
        <f>+F1288*C1288</f>
        <v>0</v>
      </c>
    </row>
    <row r="1289" spans="2:8" hidden="1" outlineLevel="2" x14ac:dyDescent="0.25">
      <c r="B1289" s="1" t="s">
        <v>205</v>
      </c>
      <c r="C1289" s="191">
        <v>2300.16</v>
      </c>
      <c r="E1289" s="211">
        <v>0</v>
      </c>
      <c r="F1289" s="211">
        <v>0</v>
      </c>
      <c r="G1289" s="212">
        <f>+E1289*C1289</f>
        <v>0</v>
      </c>
      <c r="H1289" s="212">
        <f>+F1289*C1289</f>
        <v>0</v>
      </c>
    </row>
    <row r="1290" spans="2:8" hidden="1" outlineLevel="2" x14ac:dyDescent="0.25">
      <c r="B1290" s="1" t="s">
        <v>206</v>
      </c>
      <c r="C1290" s="191">
        <v>697.01</v>
      </c>
      <c r="E1290" s="211">
        <v>0</v>
      </c>
      <c r="F1290" s="211">
        <v>0</v>
      </c>
      <c r="G1290" s="212">
        <f>+E1290*C1290</f>
        <v>0</v>
      </c>
      <c r="H1290" s="212">
        <f>+F1290*C1290</f>
        <v>0</v>
      </c>
    </row>
    <row r="1291" spans="2:8" hidden="1" outlineLevel="2" x14ac:dyDescent="0.25">
      <c r="B1291" s="1" t="s">
        <v>121</v>
      </c>
      <c r="C1291" s="191">
        <v>574.99</v>
      </c>
      <c r="E1291" s="211">
        <v>0</v>
      </c>
      <c r="F1291" s="211">
        <v>0</v>
      </c>
      <c r="G1291" s="212">
        <f>+E1291*C1291</f>
        <v>0</v>
      </c>
      <c r="H1291" s="212">
        <f>+F1291*C1291</f>
        <v>0</v>
      </c>
    </row>
    <row r="1292" spans="2:8" hidden="1" outlineLevel="2" x14ac:dyDescent="0.25">
      <c r="B1292" s="1" t="s">
        <v>207</v>
      </c>
      <c r="C1292" s="191">
        <v>4001.07</v>
      </c>
      <c r="E1292" s="211">
        <v>0</v>
      </c>
      <c r="F1292" s="211">
        <v>0</v>
      </c>
      <c r="G1292" s="212">
        <f>+E1292*C1292</f>
        <v>0</v>
      </c>
      <c r="H1292" s="212">
        <f>+F1292*C1292</f>
        <v>0</v>
      </c>
    </row>
    <row r="1293" spans="2:8" hidden="1" outlineLevel="2" x14ac:dyDescent="0.25">
      <c r="B1293" s="1" t="s">
        <v>208</v>
      </c>
      <c r="C1293" s="191">
        <v>582.16999999999996</v>
      </c>
      <c r="E1293" s="211">
        <v>0</v>
      </c>
      <c r="F1293" s="211">
        <v>0</v>
      </c>
      <c r="G1293" s="212">
        <f>+E1293*C1293</f>
        <v>0</v>
      </c>
      <c r="H1293" s="212">
        <f>+F1293*C1293</f>
        <v>0</v>
      </c>
    </row>
    <row r="1294" spans="2:8" hidden="1" outlineLevel="2" x14ac:dyDescent="0.25">
      <c r="B1294" s="1" t="s">
        <v>124</v>
      </c>
      <c r="C1294" s="191">
        <v>574.99</v>
      </c>
      <c r="E1294" s="211">
        <v>0</v>
      </c>
      <c r="F1294" s="211">
        <v>0</v>
      </c>
      <c r="G1294" s="212">
        <f>+E1294*C1294</f>
        <v>0</v>
      </c>
      <c r="H1294" s="212">
        <f>+F1294*C1294</f>
        <v>0</v>
      </c>
    </row>
    <row r="1295" spans="2:8" hidden="1" outlineLevel="2" x14ac:dyDescent="0.25">
      <c r="B1295" s="1" t="s">
        <v>209</v>
      </c>
      <c r="C1295" s="191">
        <v>5038.08</v>
      </c>
      <c r="E1295" s="211">
        <v>0</v>
      </c>
      <c r="F1295" s="211">
        <v>0</v>
      </c>
      <c r="G1295" s="212">
        <f>+E1295*C1295</f>
        <v>0</v>
      </c>
      <c r="H1295" s="212">
        <f>+F1295*C1295</f>
        <v>0</v>
      </c>
    </row>
    <row r="1296" spans="2:8" hidden="1" outlineLevel="2" x14ac:dyDescent="0.25">
      <c r="B1296" s="1" t="s">
        <v>210</v>
      </c>
      <c r="C1296" s="191">
        <v>19232.099999999999</v>
      </c>
      <c r="E1296" s="211">
        <v>0</v>
      </c>
      <c r="F1296" s="211">
        <v>0</v>
      </c>
      <c r="G1296" s="212">
        <f>+E1296*C1296</f>
        <v>0</v>
      </c>
      <c r="H1296" s="212">
        <f>+F1296*C1296</f>
        <v>0</v>
      </c>
    </row>
    <row r="1297" spans="2:8" hidden="1" outlineLevel="2" x14ac:dyDescent="0.25">
      <c r="B1297" s="1" t="s">
        <v>131</v>
      </c>
      <c r="C1297" s="191">
        <v>961.86</v>
      </c>
      <c r="E1297" s="211">
        <v>0</v>
      </c>
      <c r="F1297" s="211">
        <v>0</v>
      </c>
      <c r="G1297" s="212">
        <f>+E1297*C1297</f>
        <v>0</v>
      </c>
      <c r="H1297" s="212">
        <f>+F1297*C1297</f>
        <v>0</v>
      </c>
    </row>
    <row r="1298" spans="2:8" hidden="1" outlineLevel="2" x14ac:dyDescent="0.25">
      <c r="B1298" s="1" t="s">
        <v>211</v>
      </c>
      <c r="C1298" s="191">
        <v>34476.089999999997</v>
      </c>
      <c r="E1298" s="211">
        <v>0</v>
      </c>
      <c r="F1298" s="211">
        <v>0</v>
      </c>
      <c r="G1298" s="212">
        <f>+E1298*C1298</f>
        <v>0</v>
      </c>
      <c r="H1298" s="212">
        <f>+F1298*C1298</f>
        <v>0</v>
      </c>
    </row>
    <row r="1299" spans="2:8" hidden="1" outlineLevel="2" x14ac:dyDescent="0.25">
      <c r="B1299" s="1" t="s">
        <v>212</v>
      </c>
      <c r="C1299" s="191">
        <v>7984.25</v>
      </c>
      <c r="E1299" s="211">
        <v>0</v>
      </c>
      <c r="F1299" s="211">
        <v>0</v>
      </c>
      <c r="G1299" s="212">
        <f>+E1299*C1299</f>
        <v>0</v>
      </c>
      <c r="H1299" s="212">
        <f>+F1299*C1299</f>
        <v>0</v>
      </c>
    </row>
    <row r="1300" spans="2:8" hidden="1" outlineLevel="2" x14ac:dyDescent="0.25">
      <c r="B1300" s="1" t="s">
        <v>131</v>
      </c>
      <c r="C1300" s="191">
        <v>399.32</v>
      </c>
      <c r="E1300" s="211">
        <v>0</v>
      </c>
      <c r="F1300" s="211">
        <v>0</v>
      </c>
      <c r="G1300" s="212">
        <f>+E1300*C1300</f>
        <v>0</v>
      </c>
      <c r="H1300" s="212">
        <f>+F1300*C1300</f>
        <v>0</v>
      </c>
    </row>
    <row r="1301" spans="2:8" hidden="1" outlineLevel="2" x14ac:dyDescent="0.25">
      <c r="B1301" s="1" t="s">
        <v>213</v>
      </c>
      <c r="C1301" s="191">
        <v>742.91</v>
      </c>
      <c r="E1301" s="211">
        <v>0</v>
      </c>
      <c r="F1301" s="211">
        <v>0</v>
      </c>
      <c r="G1301" s="212">
        <f>+E1301*C1301</f>
        <v>0</v>
      </c>
      <c r="H1301" s="212">
        <f>+F1301*C1301</f>
        <v>0</v>
      </c>
    </row>
    <row r="1302" spans="2:8" hidden="1" outlineLevel="2" x14ac:dyDescent="0.25">
      <c r="B1302" s="1" t="s">
        <v>214</v>
      </c>
      <c r="C1302" s="191">
        <v>9692.98</v>
      </c>
      <c r="E1302" s="211">
        <v>0</v>
      </c>
      <c r="F1302" s="211">
        <v>0</v>
      </c>
      <c r="G1302" s="212">
        <f>+E1302*C1302</f>
        <v>0</v>
      </c>
      <c r="H1302" s="212">
        <f>+F1302*C1302</f>
        <v>0</v>
      </c>
    </row>
    <row r="1303" spans="2:8" hidden="1" outlineLevel="2" x14ac:dyDescent="0.25">
      <c r="B1303" s="1" t="s">
        <v>364</v>
      </c>
      <c r="C1303" s="191">
        <v>29626.57</v>
      </c>
      <c r="E1303" s="211">
        <v>0</v>
      </c>
      <c r="F1303" s="211">
        <v>0</v>
      </c>
      <c r="G1303" s="212">
        <f>+E1303*C1303</f>
        <v>0</v>
      </c>
      <c r="H1303" s="212">
        <f>+F1303*C1303</f>
        <v>0</v>
      </c>
    </row>
    <row r="1304" spans="2:8" hidden="1" outlineLevel="2" x14ac:dyDescent="0.25">
      <c r="B1304" s="1" t="s">
        <v>365</v>
      </c>
      <c r="C1304" s="191">
        <v>33171.08</v>
      </c>
      <c r="E1304" s="211">
        <v>0</v>
      </c>
      <c r="F1304" s="211">
        <v>0</v>
      </c>
      <c r="G1304" s="212">
        <f>+E1304*C1304</f>
        <v>0</v>
      </c>
      <c r="H1304" s="212">
        <f>+F1304*C1304</f>
        <v>0</v>
      </c>
    </row>
    <row r="1305" spans="2:8" hidden="1" outlineLevel="2" x14ac:dyDescent="0.25">
      <c r="B1305" s="1" t="s">
        <v>366</v>
      </c>
      <c r="C1305" s="191">
        <v>13646.86</v>
      </c>
      <c r="E1305" s="211">
        <v>0</v>
      </c>
      <c r="F1305" s="211">
        <v>0</v>
      </c>
      <c r="G1305" s="212">
        <f>+E1305*C1305</f>
        <v>0</v>
      </c>
      <c r="H1305" s="212">
        <f>+F1305*C1305</f>
        <v>0</v>
      </c>
    </row>
    <row r="1306" spans="2:8" hidden="1" outlineLevel="1" collapsed="1" x14ac:dyDescent="0.25">
      <c r="B1306" s="207" t="s">
        <v>216</v>
      </c>
      <c r="C1306" s="208">
        <v>166532.97</v>
      </c>
      <c r="E1306" s="209"/>
      <c r="F1306" s="209"/>
      <c r="G1306" s="210"/>
      <c r="H1306" s="210"/>
    </row>
    <row r="1307" spans="2:8" hidden="1" outlineLevel="2" x14ac:dyDescent="0.25">
      <c r="B1307" s="1" t="s">
        <v>217</v>
      </c>
      <c r="C1307" s="191">
        <v>64808.09</v>
      </c>
      <c r="E1307" s="211">
        <v>0</v>
      </c>
      <c r="F1307" s="211">
        <v>0</v>
      </c>
      <c r="G1307" s="212">
        <f>+E1307*C1307</f>
        <v>0</v>
      </c>
      <c r="H1307" s="212">
        <f>+F1307*C1307</f>
        <v>0</v>
      </c>
    </row>
    <row r="1308" spans="2:8" hidden="1" outlineLevel="2" x14ac:dyDescent="0.25">
      <c r="B1308" s="1" t="s">
        <v>218</v>
      </c>
      <c r="C1308" s="191">
        <v>38790.660000000003</v>
      </c>
      <c r="E1308" s="211">
        <v>0</v>
      </c>
      <c r="F1308" s="211">
        <v>0</v>
      </c>
      <c r="G1308" s="212">
        <f>+E1308*C1308</f>
        <v>0</v>
      </c>
      <c r="H1308" s="212">
        <f>+F1308*C1308</f>
        <v>0</v>
      </c>
    </row>
    <row r="1309" spans="2:8" hidden="1" outlineLevel="2" x14ac:dyDescent="0.25">
      <c r="B1309" s="1" t="s">
        <v>219</v>
      </c>
      <c r="C1309" s="191">
        <v>22861.3</v>
      </c>
      <c r="E1309" s="211">
        <v>0</v>
      </c>
      <c r="F1309" s="211">
        <v>0</v>
      </c>
      <c r="G1309" s="212">
        <f>+E1309*C1309</f>
        <v>0</v>
      </c>
      <c r="H1309" s="212">
        <f>+F1309*C1309</f>
        <v>0</v>
      </c>
    </row>
    <row r="1310" spans="2:8" hidden="1" outlineLevel="2" x14ac:dyDescent="0.25">
      <c r="B1310" s="1" t="s">
        <v>220</v>
      </c>
      <c r="C1310" s="191">
        <v>3311.24</v>
      </c>
      <c r="E1310" s="211">
        <v>0</v>
      </c>
      <c r="F1310" s="211">
        <v>0</v>
      </c>
      <c r="G1310" s="212">
        <f>+E1310*C1310</f>
        <v>0</v>
      </c>
      <c r="H1310" s="212">
        <f>+F1310*C1310</f>
        <v>0</v>
      </c>
    </row>
    <row r="1311" spans="2:8" hidden="1" outlineLevel="2" x14ac:dyDescent="0.25">
      <c r="B1311" s="1" t="s">
        <v>367</v>
      </c>
      <c r="C1311" s="191">
        <v>17500.990000000002</v>
      </c>
      <c r="E1311" s="211">
        <v>0</v>
      </c>
      <c r="F1311" s="211">
        <v>0</v>
      </c>
      <c r="G1311" s="212">
        <f>+E1311*C1311</f>
        <v>0</v>
      </c>
      <c r="H1311" s="212">
        <f>+F1311*C1311</f>
        <v>0</v>
      </c>
    </row>
    <row r="1312" spans="2:8" hidden="1" outlineLevel="2" x14ac:dyDescent="0.25">
      <c r="B1312" s="1" t="s">
        <v>368</v>
      </c>
      <c r="C1312" s="191">
        <v>12951.73</v>
      </c>
      <c r="E1312" s="211">
        <v>0</v>
      </c>
      <c r="F1312" s="211">
        <v>0</v>
      </c>
      <c r="G1312" s="212">
        <f>+E1312*C1312</f>
        <v>0</v>
      </c>
      <c r="H1312" s="212">
        <f>+F1312*C1312</f>
        <v>0</v>
      </c>
    </row>
    <row r="1313" spans="2:8" hidden="1" outlineLevel="2" x14ac:dyDescent="0.25">
      <c r="B1313" s="1" t="s">
        <v>369</v>
      </c>
      <c r="C1313" s="191">
        <v>3589.26</v>
      </c>
      <c r="E1313" s="211">
        <v>0</v>
      </c>
      <c r="F1313" s="211">
        <v>0</v>
      </c>
      <c r="G1313" s="212">
        <f>+E1313*C1313</f>
        <v>0</v>
      </c>
      <c r="H1313" s="212">
        <f>+F1313*C1313</f>
        <v>0</v>
      </c>
    </row>
    <row r="1314" spans="2:8" hidden="1" outlineLevel="2" x14ac:dyDescent="0.25">
      <c r="B1314" s="1" t="s">
        <v>370</v>
      </c>
      <c r="C1314" s="191">
        <v>2719.7</v>
      </c>
      <c r="E1314" s="211">
        <v>0</v>
      </c>
      <c r="F1314" s="211">
        <v>0</v>
      </c>
      <c r="G1314" s="212">
        <f>+E1314*C1314</f>
        <v>0</v>
      </c>
      <c r="H1314" s="212">
        <f>+F1314*C1314</f>
        <v>0</v>
      </c>
    </row>
    <row r="1315" spans="2:8" hidden="1" outlineLevel="1" collapsed="1" x14ac:dyDescent="0.25">
      <c r="B1315" s="207" t="s">
        <v>221</v>
      </c>
      <c r="C1315" s="208">
        <v>211896.68</v>
      </c>
      <c r="E1315" s="209"/>
      <c r="F1315" s="209"/>
      <c r="G1315" s="210"/>
      <c r="H1315" s="210"/>
    </row>
    <row r="1316" spans="2:8" hidden="1" outlineLevel="2" x14ac:dyDescent="0.25">
      <c r="B1316" s="1" t="s">
        <v>222</v>
      </c>
      <c r="C1316" s="191">
        <v>101452.75</v>
      </c>
      <c r="E1316" s="211">
        <v>0</v>
      </c>
      <c r="F1316" s="211">
        <v>0</v>
      </c>
      <c r="G1316" s="212">
        <f>+E1316*C1316</f>
        <v>0</v>
      </c>
      <c r="H1316" s="212">
        <f>+F1316*C1316</f>
        <v>0</v>
      </c>
    </row>
    <row r="1317" spans="2:8" hidden="1" outlineLevel="2" x14ac:dyDescent="0.25">
      <c r="B1317" s="1" t="s">
        <v>371</v>
      </c>
      <c r="C1317" s="191">
        <v>5107.7700000000004</v>
      </c>
      <c r="E1317" s="211">
        <v>0</v>
      </c>
      <c r="F1317" s="211">
        <v>0</v>
      </c>
      <c r="G1317" s="212">
        <f>+E1317*C1317</f>
        <v>0</v>
      </c>
      <c r="H1317" s="212">
        <f>+F1317*C1317</f>
        <v>0</v>
      </c>
    </row>
    <row r="1318" spans="2:8" hidden="1" outlineLevel="2" x14ac:dyDescent="0.25">
      <c r="B1318" s="1" t="s">
        <v>372</v>
      </c>
      <c r="C1318" s="191">
        <v>36924.78</v>
      </c>
      <c r="E1318" s="211">
        <v>0</v>
      </c>
      <c r="F1318" s="211">
        <v>0</v>
      </c>
      <c r="G1318" s="212">
        <f>+E1318*C1318</f>
        <v>0</v>
      </c>
      <c r="H1318" s="212">
        <f>+F1318*C1318</f>
        <v>0</v>
      </c>
    </row>
    <row r="1319" spans="2:8" hidden="1" outlineLevel="2" x14ac:dyDescent="0.25">
      <c r="B1319" s="1" t="s">
        <v>373</v>
      </c>
      <c r="C1319" s="191">
        <v>6597.05</v>
      </c>
      <c r="E1319" s="211">
        <v>0</v>
      </c>
      <c r="F1319" s="211">
        <v>0</v>
      </c>
      <c r="G1319" s="212">
        <f>+E1319*C1319</f>
        <v>0</v>
      </c>
      <c r="H1319" s="212">
        <f>+F1319*C1319</f>
        <v>0</v>
      </c>
    </row>
    <row r="1320" spans="2:8" hidden="1" outlineLevel="2" x14ac:dyDescent="0.25">
      <c r="B1320" s="1" t="s">
        <v>374</v>
      </c>
      <c r="C1320" s="191">
        <v>15889.99</v>
      </c>
      <c r="E1320" s="211">
        <v>0</v>
      </c>
      <c r="F1320" s="211">
        <v>0</v>
      </c>
      <c r="G1320" s="212">
        <f>+E1320*C1320</f>
        <v>0</v>
      </c>
      <c r="H1320" s="212">
        <f>+F1320*C1320</f>
        <v>0</v>
      </c>
    </row>
    <row r="1321" spans="2:8" hidden="1" outlineLevel="2" x14ac:dyDescent="0.25">
      <c r="B1321" s="1" t="s">
        <v>225</v>
      </c>
      <c r="C1321" s="191">
        <v>35433.1</v>
      </c>
      <c r="E1321" s="211">
        <v>0</v>
      </c>
      <c r="F1321" s="211">
        <v>0</v>
      </c>
      <c r="G1321" s="212">
        <f>+E1321*C1321</f>
        <v>0</v>
      </c>
      <c r="H1321" s="212">
        <f>+F1321*C1321</f>
        <v>0</v>
      </c>
    </row>
    <row r="1322" spans="2:8" hidden="1" outlineLevel="2" x14ac:dyDescent="0.25">
      <c r="B1322" s="1" t="s">
        <v>227</v>
      </c>
      <c r="C1322" s="191">
        <v>10491.24</v>
      </c>
      <c r="E1322" s="211">
        <v>0</v>
      </c>
      <c r="F1322" s="211">
        <v>0</v>
      </c>
      <c r="G1322" s="212">
        <f>+E1322*C1322</f>
        <v>0</v>
      </c>
      <c r="H1322" s="212">
        <f>+F1322*C1322</f>
        <v>0</v>
      </c>
    </row>
    <row r="1323" spans="2:8" hidden="1" outlineLevel="1" collapsed="1" x14ac:dyDescent="0.25">
      <c r="B1323" s="207" t="s">
        <v>228</v>
      </c>
      <c r="C1323" s="208">
        <v>128336.19</v>
      </c>
      <c r="E1323" s="209"/>
      <c r="F1323" s="209"/>
      <c r="G1323" s="210"/>
      <c r="H1323" s="210"/>
    </row>
    <row r="1324" spans="2:8" hidden="1" outlineLevel="2" x14ac:dyDescent="0.25">
      <c r="B1324" s="1" t="s">
        <v>229</v>
      </c>
      <c r="C1324" s="191">
        <v>79508.289999999994</v>
      </c>
      <c r="E1324" s="211">
        <v>0</v>
      </c>
      <c r="F1324" s="211">
        <v>0</v>
      </c>
      <c r="G1324" s="212">
        <f>+E1324*C1324</f>
        <v>0</v>
      </c>
      <c r="H1324" s="212">
        <f>+F1324*C1324</f>
        <v>0</v>
      </c>
    </row>
    <row r="1325" spans="2:8" hidden="1" outlineLevel="2" x14ac:dyDescent="0.25">
      <c r="B1325" s="1" t="s">
        <v>375</v>
      </c>
      <c r="C1325" s="191">
        <v>66315.990000000005</v>
      </c>
      <c r="E1325" s="211">
        <v>0</v>
      </c>
      <c r="F1325" s="211">
        <v>0</v>
      </c>
      <c r="G1325" s="212">
        <f>+E1325*C1325</f>
        <v>0</v>
      </c>
      <c r="H1325" s="212">
        <f>+F1325*C1325</f>
        <v>0</v>
      </c>
    </row>
    <row r="1326" spans="2:8" hidden="1" outlineLevel="2" x14ac:dyDescent="0.25">
      <c r="B1326" s="1" t="s">
        <v>376</v>
      </c>
      <c r="C1326" s="191">
        <v>13192.3</v>
      </c>
      <c r="E1326" s="211">
        <v>0</v>
      </c>
      <c r="F1326" s="211">
        <v>0</v>
      </c>
      <c r="G1326" s="212">
        <f>+E1326*C1326</f>
        <v>0</v>
      </c>
      <c r="H1326" s="212">
        <f>+F1326*C1326</f>
        <v>0</v>
      </c>
    </row>
    <row r="1327" spans="2:8" hidden="1" outlineLevel="2" x14ac:dyDescent="0.25">
      <c r="B1327" s="1" t="s">
        <v>377</v>
      </c>
      <c r="C1327" s="191">
        <v>11266.24</v>
      </c>
      <c r="E1327" s="211">
        <v>0</v>
      </c>
      <c r="F1327" s="211">
        <v>0</v>
      </c>
      <c r="G1327" s="212">
        <f>+E1327*C1327</f>
        <v>0</v>
      </c>
      <c r="H1327" s="212">
        <f>+F1327*C1327</f>
        <v>0</v>
      </c>
    </row>
    <row r="1328" spans="2:8" hidden="1" outlineLevel="2" x14ac:dyDescent="0.25">
      <c r="B1328" s="1" t="s">
        <v>378</v>
      </c>
      <c r="C1328" s="191">
        <v>11266.24</v>
      </c>
      <c r="E1328" s="211">
        <v>0</v>
      </c>
      <c r="F1328" s="211">
        <v>0</v>
      </c>
      <c r="G1328" s="212">
        <f>+E1328*C1328</f>
        <v>0</v>
      </c>
      <c r="H1328" s="212">
        <f>+F1328*C1328</f>
        <v>0</v>
      </c>
    </row>
    <row r="1329" spans="2:8" hidden="1" outlineLevel="2" x14ac:dyDescent="0.25">
      <c r="B1329" s="1" t="s">
        <v>232</v>
      </c>
      <c r="C1329" s="191">
        <v>34400.620000000003</v>
      </c>
      <c r="E1329" s="211">
        <v>0</v>
      </c>
      <c r="F1329" s="211">
        <v>0</v>
      </c>
      <c r="G1329" s="212">
        <f>+E1329*C1329</f>
        <v>0</v>
      </c>
      <c r="H1329" s="212">
        <f>+F1329*C1329</f>
        <v>0</v>
      </c>
    </row>
    <row r="1330" spans="2:8" hidden="1" outlineLevel="2" x14ac:dyDescent="0.25">
      <c r="B1330" s="1" t="s">
        <v>379</v>
      </c>
      <c r="C1330" s="191">
        <v>15685.85</v>
      </c>
      <c r="E1330" s="211">
        <v>0</v>
      </c>
      <c r="F1330" s="211">
        <v>0</v>
      </c>
      <c r="G1330" s="212">
        <f>+E1330*C1330</f>
        <v>0</v>
      </c>
      <c r="H1330" s="212">
        <f>+F1330*C1330</f>
        <v>0</v>
      </c>
    </row>
    <row r="1331" spans="2:8" hidden="1" outlineLevel="2" x14ac:dyDescent="0.25">
      <c r="B1331" s="1" t="s">
        <v>234</v>
      </c>
      <c r="C1331" s="191">
        <v>844.6</v>
      </c>
      <c r="E1331" s="211">
        <v>0</v>
      </c>
      <c r="F1331" s="211">
        <v>0</v>
      </c>
      <c r="G1331" s="212">
        <f>+E1331*C1331</f>
        <v>0</v>
      </c>
      <c r="H1331" s="212">
        <f>+F1331*C1331</f>
        <v>0</v>
      </c>
    </row>
    <row r="1332" spans="2:8" hidden="1" outlineLevel="2" x14ac:dyDescent="0.25">
      <c r="B1332" s="1" t="s">
        <v>380</v>
      </c>
      <c r="C1332" s="191">
        <v>2869.85</v>
      </c>
      <c r="E1332" s="211">
        <v>0</v>
      </c>
      <c r="F1332" s="211">
        <v>0</v>
      </c>
      <c r="G1332" s="212">
        <f>+E1332*C1332</f>
        <v>0</v>
      </c>
      <c r="H1332" s="212">
        <f>+F1332*C1332</f>
        <v>0</v>
      </c>
    </row>
    <row r="1333" spans="2:8" hidden="1" outlineLevel="2" x14ac:dyDescent="0.25">
      <c r="B1333" s="1" t="s">
        <v>376</v>
      </c>
      <c r="C1333" s="191">
        <v>3126.61</v>
      </c>
      <c r="E1333" s="211">
        <v>0</v>
      </c>
      <c r="F1333" s="211">
        <v>0</v>
      </c>
      <c r="G1333" s="212">
        <f>+E1333*C1333</f>
        <v>0</v>
      </c>
      <c r="H1333" s="212">
        <f>+F1333*C1333</f>
        <v>0</v>
      </c>
    </row>
    <row r="1334" spans="2:8" hidden="1" outlineLevel="2" x14ac:dyDescent="0.25">
      <c r="B1334" s="1" t="s">
        <v>375</v>
      </c>
      <c r="C1334" s="191">
        <v>6617.83</v>
      </c>
      <c r="E1334" s="211">
        <v>0</v>
      </c>
      <c r="F1334" s="211">
        <v>0</v>
      </c>
      <c r="G1334" s="212">
        <f>+E1334*C1334</f>
        <v>0</v>
      </c>
      <c r="H1334" s="212">
        <f>+F1334*C1334</f>
        <v>0</v>
      </c>
    </row>
    <row r="1335" spans="2:8" hidden="1" outlineLevel="2" x14ac:dyDescent="0.25">
      <c r="B1335" s="1" t="s">
        <v>236</v>
      </c>
      <c r="C1335" s="191">
        <v>2474.7399999999998</v>
      </c>
      <c r="E1335" s="211">
        <v>0</v>
      </c>
      <c r="F1335" s="211">
        <v>0</v>
      </c>
      <c r="G1335" s="212">
        <f>+E1335*C1335</f>
        <v>0</v>
      </c>
      <c r="H1335" s="212">
        <f>+F1335*C1335</f>
        <v>0</v>
      </c>
    </row>
    <row r="1336" spans="2:8" hidden="1" outlineLevel="2" x14ac:dyDescent="0.25">
      <c r="B1336" s="1" t="s">
        <v>237</v>
      </c>
      <c r="C1336" s="191">
        <v>2781.14</v>
      </c>
      <c r="E1336" s="211">
        <v>0</v>
      </c>
      <c r="F1336" s="211">
        <v>0</v>
      </c>
      <c r="G1336" s="212">
        <f>+E1336*C1336</f>
        <v>0</v>
      </c>
      <c r="H1336" s="212">
        <f>+F1336*C1336</f>
        <v>0</v>
      </c>
    </row>
    <row r="1337" spans="2:8" hidden="1" outlineLevel="2" x14ac:dyDescent="0.25">
      <c r="B1337" s="1" t="s">
        <v>63</v>
      </c>
      <c r="C1337" s="191">
        <v>3161.04</v>
      </c>
      <c r="E1337" s="211">
        <v>0</v>
      </c>
      <c r="F1337" s="211">
        <v>0</v>
      </c>
      <c r="G1337" s="212">
        <f>+E1337*C1337</f>
        <v>0</v>
      </c>
      <c r="H1337" s="212">
        <f>+F1337*C1337</f>
        <v>0</v>
      </c>
    </row>
    <row r="1338" spans="2:8" hidden="1" outlineLevel="2" x14ac:dyDescent="0.25">
      <c r="B1338" s="1" t="s">
        <v>375</v>
      </c>
      <c r="C1338" s="191">
        <v>3161.04</v>
      </c>
      <c r="E1338" s="211">
        <v>0</v>
      </c>
      <c r="F1338" s="211">
        <v>0</v>
      </c>
      <c r="G1338" s="212">
        <f>+E1338*C1338</f>
        <v>0</v>
      </c>
      <c r="H1338" s="212">
        <f>+F1338*C1338</f>
        <v>0</v>
      </c>
    </row>
    <row r="1339" spans="2:8" hidden="1" outlineLevel="2" x14ac:dyDescent="0.25">
      <c r="B1339" s="1" t="s">
        <v>376</v>
      </c>
      <c r="C1339" s="191">
        <v>0</v>
      </c>
      <c r="E1339" s="211">
        <v>0</v>
      </c>
      <c r="F1339" s="211">
        <v>0</v>
      </c>
      <c r="G1339" s="212">
        <f>+E1339*C1339</f>
        <v>0</v>
      </c>
      <c r="H1339" s="212">
        <f>+F1339*C1339</f>
        <v>0</v>
      </c>
    </row>
    <row r="1340" spans="2:8" hidden="1" outlineLevel="1" collapsed="1" x14ac:dyDescent="0.25">
      <c r="B1340" s="207" t="s">
        <v>238</v>
      </c>
      <c r="C1340" s="208">
        <v>883.4</v>
      </c>
      <c r="E1340" s="209"/>
      <c r="F1340" s="209"/>
      <c r="G1340" s="210"/>
      <c r="H1340" s="210"/>
    </row>
    <row r="1341" spans="2:8" hidden="1" outlineLevel="2" x14ac:dyDescent="0.25">
      <c r="B1341" s="1" t="s">
        <v>239</v>
      </c>
      <c r="C1341" s="191">
        <v>883.4</v>
      </c>
      <c r="E1341" s="211">
        <v>0</v>
      </c>
      <c r="F1341" s="211">
        <v>0</v>
      </c>
      <c r="G1341" s="212">
        <f>+E1341*C1341</f>
        <v>0</v>
      </c>
      <c r="H1341" s="212">
        <f>+F1341*C1341</f>
        <v>0</v>
      </c>
    </row>
    <row r="1342" spans="2:8" hidden="1" outlineLevel="1" collapsed="1" x14ac:dyDescent="0.25">
      <c r="B1342" s="207" t="s">
        <v>240</v>
      </c>
      <c r="C1342" s="208">
        <v>7349.8</v>
      </c>
      <c r="E1342" s="209"/>
      <c r="F1342" s="209"/>
      <c r="G1342" s="210"/>
      <c r="H1342" s="210"/>
    </row>
    <row r="1343" spans="2:8" hidden="1" outlineLevel="2" x14ac:dyDescent="0.25">
      <c r="B1343" s="1" t="s">
        <v>241</v>
      </c>
      <c r="C1343" s="191">
        <v>5509.8</v>
      </c>
      <c r="E1343" s="211">
        <v>0</v>
      </c>
      <c r="F1343" s="211">
        <v>0</v>
      </c>
      <c r="G1343" s="212">
        <f>+E1343*C1343</f>
        <v>0</v>
      </c>
      <c r="H1343" s="212">
        <f>+F1343*C1343</f>
        <v>0</v>
      </c>
    </row>
    <row r="1344" spans="2:8" hidden="1" outlineLevel="2" x14ac:dyDescent="0.25">
      <c r="B1344" s="1" t="s">
        <v>242</v>
      </c>
      <c r="C1344" s="191">
        <v>1840</v>
      </c>
      <c r="E1344" s="211">
        <v>0</v>
      </c>
      <c r="F1344" s="211">
        <v>0</v>
      </c>
      <c r="G1344" s="212">
        <f>+E1344*C1344</f>
        <v>0</v>
      </c>
      <c r="H1344" s="212">
        <f>+F1344*C1344</f>
        <v>0</v>
      </c>
    </row>
    <row r="1345" spans="2:8" hidden="1" outlineLevel="1" collapsed="1" x14ac:dyDescent="0.25">
      <c r="B1345" s="207" t="s">
        <v>243</v>
      </c>
      <c r="C1345" s="208">
        <v>154174.9</v>
      </c>
      <c r="E1345" s="209"/>
      <c r="F1345" s="209"/>
      <c r="G1345" s="210"/>
      <c r="H1345" s="210"/>
    </row>
    <row r="1346" spans="2:8" hidden="1" outlineLevel="2" x14ac:dyDescent="0.25">
      <c r="B1346" s="1" t="s">
        <v>381</v>
      </c>
      <c r="C1346" s="191">
        <v>21475.95</v>
      </c>
      <c r="E1346" s="211">
        <v>0</v>
      </c>
      <c r="F1346" s="211">
        <v>0</v>
      </c>
      <c r="G1346" s="212">
        <f>+E1346*C1346</f>
        <v>0</v>
      </c>
      <c r="H1346" s="212">
        <f>+F1346*C1346</f>
        <v>0</v>
      </c>
    </row>
    <row r="1347" spans="2:8" hidden="1" outlineLevel="2" x14ac:dyDescent="0.25">
      <c r="B1347" s="1" t="s">
        <v>382</v>
      </c>
      <c r="C1347" s="191">
        <v>13840.06</v>
      </c>
      <c r="E1347" s="211">
        <v>0</v>
      </c>
      <c r="F1347" s="211">
        <v>0</v>
      </c>
      <c r="G1347" s="212">
        <f>+E1347*C1347</f>
        <v>0</v>
      </c>
      <c r="H1347" s="212">
        <f>+F1347*C1347</f>
        <v>0</v>
      </c>
    </row>
    <row r="1348" spans="2:8" hidden="1" outlineLevel="2" x14ac:dyDescent="0.25">
      <c r="B1348" s="1" t="s">
        <v>383</v>
      </c>
      <c r="C1348" s="191">
        <v>1145.3800000000001</v>
      </c>
      <c r="E1348" s="211">
        <v>0</v>
      </c>
      <c r="F1348" s="211">
        <v>0</v>
      </c>
      <c r="G1348" s="212">
        <f>+E1348*C1348</f>
        <v>0</v>
      </c>
      <c r="H1348" s="212">
        <f>+F1348*C1348</f>
        <v>0</v>
      </c>
    </row>
    <row r="1349" spans="2:8" hidden="1" outlineLevel="2" x14ac:dyDescent="0.25">
      <c r="B1349" s="1" t="s">
        <v>384</v>
      </c>
      <c r="C1349" s="191">
        <v>3817.95</v>
      </c>
      <c r="E1349" s="211">
        <v>0</v>
      </c>
      <c r="F1349" s="211">
        <v>0</v>
      </c>
      <c r="G1349" s="212">
        <f>+E1349*C1349</f>
        <v>0</v>
      </c>
      <c r="H1349" s="212">
        <f>+F1349*C1349</f>
        <v>0</v>
      </c>
    </row>
    <row r="1350" spans="2:8" hidden="1" outlineLevel="2" x14ac:dyDescent="0.25">
      <c r="B1350" s="1" t="s">
        <v>385</v>
      </c>
      <c r="C1350" s="191">
        <v>16703.52</v>
      </c>
      <c r="E1350" s="211">
        <v>0</v>
      </c>
      <c r="F1350" s="211">
        <v>0</v>
      </c>
      <c r="G1350" s="212">
        <f>+E1350*C1350</f>
        <v>0</v>
      </c>
      <c r="H1350" s="212">
        <f>+F1350*C1350</f>
        <v>0</v>
      </c>
    </row>
    <row r="1351" spans="2:8" hidden="1" outlineLevel="2" x14ac:dyDescent="0.25">
      <c r="B1351" s="1" t="s">
        <v>386</v>
      </c>
      <c r="C1351" s="191">
        <v>12885.57</v>
      </c>
      <c r="E1351" s="211">
        <v>0</v>
      </c>
      <c r="F1351" s="211">
        <v>0</v>
      </c>
      <c r="G1351" s="212">
        <f>+E1351*C1351</f>
        <v>0</v>
      </c>
      <c r="H1351" s="212">
        <f>+F1351*C1351</f>
        <v>0</v>
      </c>
    </row>
    <row r="1352" spans="2:8" hidden="1" outlineLevel="2" x14ac:dyDescent="0.25">
      <c r="B1352" s="1" t="s">
        <v>387</v>
      </c>
      <c r="C1352" s="191">
        <v>32070.75</v>
      </c>
      <c r="E1352" s="211">
        <v>0</v>
      </c>
      <c r="F1352" s="211">
        <v>0</v>
      </c>
      <c r="G1352" s="212">
        <f>+E1352*C1352</f>
        <v>0</v>
      </c>
      <c r="H1352" s="212">
        <f>+F1352*C1352</f>
        <v>0</v>
      </c>
    </row>
    <row r="1353" spans="2:8" hidden="1" outlineLevel="2" x14ac:dyDescent="0.25">
      <c r="B1353" s="1" t="s">
        <v>388</v>
      </c>
      <c r="C1353" s="191">
        <v>7254.1</v>
      </c>
      <c r="E1353" s="211">
        <v>0</v>
      </c>
      <c r="F1353" s="211">
        <v>0</v>
      </c>
      <c r="G1353" s="212">
        <f>+E1353*C1353</f>
        <v>0</v>
      </c>
      <c r="H1353" s="212">
        <f>+F1353*C1353</f>
        <v>0</v>
      </c>
    </row>
    <row r="1354" spans="2:8" hidden="1" outlineLevel="2" x14ac:dyDescent="0.25">
      <c r="B1354" s="1" t="s">
        <v>389</v>
      </c>
      <c r="C1354" s="191">
        <v>38656.71</v>
      </c>
      <c r="E1354" s="211">
        <v>0</v>
      </c>
      <c r="F1354" s="211">
        <v>0</v>
      </c>
      <c r="G1354" s="212">
        <f>+E1354*C1354</f>
        <v>0</v>
      </c>
      <c r="H1354" s="212">
        <f>+F1354*C1354</f>
        <v>0</v>
      </c>
    </row>
    <row r="1355" spans="2:8" hidden="1" outlineLevel="2" x14ac:dyDescent="0.25">
      <c r="B1355" s="1" t="s">
        <v>390</v>
      </c>
      <c r="C1355" s="191">
        <v>6324.91</v>
      </c>
      <c r="E1355" s="211">
        <v>0</v>
      </c>
      <c r="F1355" s="211">
        <v>0</v>
      </c>
      <c r="G1355" s="212">
        <f>+E1355*C1355</f>
        <v>0</v>
      </c>
      <c r="H1355" s="212">
        <f>+F1355*C1355</f>
        <v>0</v>
      </c>
    </row>
    <row r="1356" spans="2:8" hidden="1" outlineLevel="1" collapsed="1" x14ac:dyDescent="0.25">
      <c r="B1356" s="207" t="s">
        <v>250</v>
      </c>
      <c r="C1356" s="208">
        <v>49448.68</v>
      </c>
      <c r="E1356" s="209"/>
      <c r="F1356" s="209"/>
      <c r="G1356" s="210"/>
      <c r="H1356" s="210"/>
    </row>
    <row r="1357" spans="2:8" hidden="1" outlineLevel="2" x14ac:dyDescent="0.25">
      <c r="B1357" s="1" t="s">
        <v>251</v>
      </c>
      <c r="C1357" s="191">
        <v>15449.35</v>
      </c>
      <c r="E1357" s="211">
        <v>0</v>
      </c>
      <c r="F1357" s="211">
        <v>0</v>
      </c>
      <c r="G1357" s="212">
        <f>+E1357*C1357</f>
        <v>0</v>
      </c>
      <c r="H1357" s="212">
        <f>+F1357*C1357</f>
        <v>0</v>
      </c>
    </row>
    <row r="1358" spans="2:8" hidden="1" outlineLevel="2" x14ac:dyDescent="0.25">
      <c r="B1358" s="1" t="s">
        <v>391</v>
      </c>
      <c r="C1358" s="191">
        <v>3869.74</v>
      </c>
      <c r="E1358" s="211">
        <v>0</v>
      </c>
      <c r="F1358" s="211">
        <v>0</v>
      </c>
      <c r="G1358" s="212">
        <f>+E1358*C1358</f>
        <v>0</v>
      </c>
      <c r="H1358" s="212">
        <f>+F1358*C1358</f>
        <v>0</v>
      </c>
    </row>
    <row r="1359" spans="2:8" hidden="1" outlineLevel="2" x14ac:dyDescent="0.25">
      <c r="B1359" s="1" t="s">
        <v>253</v>
      </c>
      <c r="C1359" s="191">
        <v>14719.8</v>
      </c>
      <c r="E1359" s="211">
        <v>0</v>
      </c>
      <c r="F1359" s="211">
        <v>0</v>
      </c>
      <c r="G1359" s="212">
        <f>+E1359*C1359</f>
        <v>0</v>
      </c>
      <c r="H1359" s="212">
        <f>+F1359*C1359</f>
        <v>0</v>
      </c>
    </row>
    <row r="1360" spans="2:8" hidden="1" outlineLevel="2" x14ac:dyDescent="0.25">
      <c r="B1360" s="1" t="s">
        <v>252</v>
      </c>
      <c r="C1360" s="191">
        <v>7359.9</v>
      </c>
      <c r="E1360" s="211">
        <v>0</v>
      </c>
      <c r="F1360" s="211">
        <v>0</v>
      </c>
      <c r="G1360" s="212">
        <f>+E1360*C1360</f>
        <v>0</v>
      </c>
      <c r="H1360" s="212">
        <f>+F1360*C1360</f>
        <v>0</v>
      </c>
    </row>
    <row r="1361" spans="2:8" hidden="1" outlineLevel="2" x14ac:dyDescent="0.25">
      <c r="B1361" s="1" t="s">
        <v>392</v>
      </c>
      <c r="C1361" s="191">
        <v>8049.89</v>
      </c>
      <c r="E1361" s="211">
        <v>0</v>
      </c>
      <c r="F1361" s="211">
        <v>0</v>
      </c>
      <c r="G1361" s="212">
        <f>+E1361*C1361</f>
        <v>0</v>
      </c>
      <c r="H1361" s="212">
        <f>+F1361*C1361</f>
        <v>0</v>
      </c>
    </row>
    <row r="1362" spans="2:8" hidden="1" outlineLevel="1" collapsed="1" x14ac:dyDescent="0.25">
      <c r="B1362" s="207" t="s">
        <v>393</v>
      </c>
      <c r="C1362" s="208">
        <v>108723.59</v>
      </c>
      <c r="E1362" s="209"/>
      <c r="F1362" s="209"/>
      <c r="G1362" s="210"/>
      <c r="H1362" s="210"/>
    </row>
    <row r="1363" spans="2:8" hidden="1" outlineLevel="2" x14ac:dyDescent="0.25">
      <c r="B1363" s="1" t="s">
        <v>394</v>
      </c>
      <c r="C1363" s="191">
        <v>30552.76</v>
      </c>
      <c r="E1363" s="211">
        <v>0</v>
      </c>
      <c r="F1363" s="211">
        <v>0</v>
      </c>
      <c r="G1363" s="212">
        <f>+E1363*C1363</f>
        <v>0</v>
      </c>
      <c r="H1363" s="212">
        <f>+F1363*C1363</f>
        <v>0</v>
      </c>
    </row>
    <row r="1364" spans="2:8" hidden="1" outlineLevel="2" x14ac:dyDescent="0.25">
      <c r="B1364" s="1" t="s">
        <v>395</v>
      </c>
      <c r="C1364" s="191">
        <v>38702.99</v>
      </c>
      <c r="E1364" s="211">
        <v>0</v>
      </c>
      <c r="F1364" s="211">
        <v>0</v>
      </c>
      <c r="G1364" s="212">
        <f>+E1364*C1364</f>
        <v>0</v>
      </c>
      <c r="H1364" s="212">
        <f>+F1364*C1364</f>
        <v>0</v>
      </c>
    </row>
    <row r="1365" spans="2:8" hidden="1" outlineLevel="2" x14ac:dyDescent="0.25">
      <c r="B1365" s="1" t="s">
        <v>396</v>
      </c>
      <c r="C1365" s="191">
        <v>18629.740000000002</v>
      </c>
      <c r="E1365" s="211">
        <v>0</v>
      </c>
      <c r="F1365" s="211">
        <v>0</v>
      </c>
      <c r="G1365" s="212">
        <f>+E1365*C1365</f>
        <v>0</v>
      </c>
      <c r="H1365" s="212">
        <f>+F1365*C1365</f>
        <v>0</v>
      </c>
    </row>
    <row r="1366" spans="2:8" hidden="1" outlineLevel="2" x14ac:dyDescent="0.25">
      <c r="B1366" s="1" t="s">
        <v>397</v>
      </c>
      <c r="C1366" s="191">
        <v>9290.0300000000007</v>
      </c>
      <c r="E1366" s="211">
        <v>0</v>
      </c>
      <c r="F1366" s="211">
        <v>0</v>
      </c>
      <c r="G1366" s="212">
        <f>+E1366*C1366</f>
        <v>0</v>
      </c>
      <c r="H1366" s="212">
        <f>+F1366*C1366</f>
        <v>0</v>
      </c>
    </row>
    <row r="1367" spans="2:8" hidden="1" outlineLevel="2" x14ac:dyDescent="0.25">
      <c r="B1367" s="1" t="s">
        <v>398</v>
      </c>
      <c r="C1367" s="191">
        <v>6899.9</v>
      </c>
      <c r="E1367" s="211">
        <v>0</v>
      </c>
      <c r="F1367" s="211">
        <v>0</v>
      </c>
      <c r="G1367" s="212">
        <f>+E1367*C1367</f>
        <v>0</v>
      </c>
      <c r="H1367" s="212">
        <f>+F1367*C1367</f>
        <v>0</v>
      </c>
    </row>
    <row r="1368" spans="2:8" hidden="1" outlineLevel="2" x14ac:dyDescent="0.25">
      <c r="B1368" s="1" t="s">
        <v>399</v>
      </c>
      <c r="C1368" s="191">
        <v>748.28</v>
      </c>
      <c r="E1368" s="211">
        <v>0</v>
      </c>
      <c r="F1368" s="211">
        <v>0</v>
      </c>
      <c r="G1368" s="212">
        <f>+E1368*C1368</f>
        <v>0</v>
      </c>
      <c r="H1368" s="212">
        <f>+F1368*C1368</f>
        <v>0</v>
      </c>
    </row>
    <row r="1369" spans="2:8" hidden="1" outlineLevel="2" x14ac:dyDescent="0.25">
      <c r="B1369" s="1" t="s">
        <v>400</v>
      </c>
      <c r="C1369" s="191">
        <v>1519.88</v>
      </c>
      <c r="E1369" s="211">
        <v>0</v>
      </c>
      <c r="F1369" s="211">
        <v>0</v>
      </c>
      <c r="G1369" s="212">
        <f>+E1369*C1369</f>
        <v>0</v>
      </c>
      <c r="H1369" s="212">
        <f>+F1369*C1369</f>
        <v>0</v>
      </c>
    </row>
    <row r="1370" spans="2:8" hidden="1" outlineLevel="2" x14ac:dyDescent="0.25">
      <c r="B1370" s="1" t="s">
        <v>401</v>
      </c>
      <c r="C1370" s="191">
        <v>2380.0100000000002</v>
      </c>
      <c r="E1370" s="211">
        <v>0</v>
      </c>
      <c r="F1370" s="211">
        <v>0</v>
      </c>
      <c r="G1370" s="212">
        <f>+E1370*C1370</f>
        <v>0</v>
      </c>
      <c r="H1370" s="212">
        <f>+F1370*C1370</f>
        <v>0</v>
      </c>
    </row>
    <row r="1371" spans="2:8" hidden="1" outlineLevel="1" collapsed="1" x14ac:dyDescent="0.25">
      <c r="B1371" s="207" t="s">
        <v>255</v>
      </c>
      <c r="C1371" s="208">
        <v>104124.45</v>
      </c>
      <c r="E1371" s="209"/>
      <c r="F1371" s="209"/>
      <c r="G1371" s="210"/>
      <c r="H1371" s="210"/>
    </row>
    <row r="1372" spans="2:8" hidden="1" outlineLevel="2" x14ac:dyDescent="0.25">
      <c r="B1372" s="1" t="s">
        <v>256</v>
      </c>
      <c r="C1372" s="191">
        <v>12127.73</v>
      </c>
      <c r="E1372" s="211">
        <v>0</v>
      </c>
      <c r="F1372" s="211">
        <v>0</v>
      </c>
      <c r="G1372" s="212">
        <f>+E1372*C1372</f>
        <v>0</v>
      </c>
      <c r="H1372" s="212">
        <f>+F1372*C1372</f>
        <v>0</v>
      </c>
    </row>
    <row r="1373" spans="2:8" hidden="1" outlineLevel="2" x14ac:dyDescent="0.25">
      <c r="B1373" s="1" t="s">
        <v>258</v>
      </c>
      <c r="C1373" s="191">
        <v>3363.66</v>
      </c>
      <c r="E1373" s="211">
        <v>0</v>
      </c>
      <c r="F1373" s="211">
        <v>0</v>
      </c>
      <c r="G1373" s="212">
        <f>+E1373*C1373</f>
        <v>0</v>
      </c>
      <c r="H1373" s="212">
        <f>+F1373*C1373</f>
        <v>0</v>
      </c>
    </row>
    <row r="1374" spans="2:8" hidden="1" outlineLevel="2" x14ac:dyDescent="0.25">
      <c r="B1374" s="1" t="s">
        <v>259</v>
      </c>
      <c r="C1374" s="191">
        <v>1950.38</v>
      </c>
      <c r="E1374" s="211">
        <v>0</v>
      </c>
      <c r="F1374" s="211">
        <v>0</v>
      </c>
      <c r="G1374" s="212">
        <f>+E1374*C1374</f>
        <v>0</v>
      </c>
      <c r="H1374" s="212">
        <f>+F1374*C1374</f>
        <v>0</v>
      </c>
    </row>
    <row r="1375" spans="2:8" hidden="1" outlineLevel="2" x14ac:dyDescent="0.25">
      <c r="B1375" s="1" t="s">
        <v>260</v>
      </c>
      <c r="C1375" s="191">
        <v>6835.52</v>
      </c>
      <c r="E1375" s="211">
        <v>0</v>
      </c>
      <c r="F1375" s="211">
        <v>0</v>
      </c>
      <c r="G1375" s="212">
        <f>+E1375*C1375</f>
        <v>0</v>
      </c>
      <c r="H1375" s="212">
        <f>+F1375*C1375</f>
        <v>0</v>
      </c>
    </row>
    <row r="1376" spans="2:8" hidden="1" outlineLevel="2" x14ac:dyDescent="0.25">
      <c r="B1376" s="1" t="s">
        <v>262</v>
      </c>
      <c r="C1376" s="191">
        <v>4973.84</v>
      </c>
      <c r="E1376" s="211">
        <v>0</v>
      </c>
      <c r="F1376" s="211">
        <v>0</v>
      </c>
      <c r="G1376" s="212">
        <f>+E1376*C1376</f>
        <v>0</v>
      </c>
      <c r="H1376" s="212">
        <f>+F1376*C1376</f>
        <v>0</v>
      </c>
    </row>
    <row r="1377" spans="2:8" hidden="1" outlineLevel="2" x14ac:dyDescent="0.25">
      <c r="B1377" s="1" t="s">
        <v>263</v>
      </c>
      <c r="C1377" s="191">
        <v>7460.76</v>
      </c>
      <c r="E1377" s="211">
        <v>0</v>
      </c>
      <c r="F1377" s="211">
        <v>0</v>
      </c>
      <c r="G1377" s="212">
        <f>+E1377*C1377</f>
        <v>0</v>
      </c>
      <c r="H1377" s="212">
        <f>+F1377*C1377</f>
        <v>0</v>
      </c>
    </row>
    <row r="1378" spans="2:8" hidden="1" outlineLevel="2" x14ac:dyDescent="0.25">
      <c r="B1378" s="1" t="s">
        <v>264</v>
      </c>
      <c r="C1378" s="191">
        <v>27397.71</v>
      </c>
      <c r="E1378" s="211">
        <v>0</v>
      </c>
      <c r="F1378" s="211">
        <v>0</v>
      </c>
      <c r="G1378" s="212">
        <f>+E1378*C1378</f>
        <v>0</v>
      </c>
      <c r="H1378" s="212">
        <f>+F1378*C1378</f>
        <v>0</v>
      </c>
    </row>
    <row r="1379" spans="2:8" hidden="1" outlineLevel="2" x14ac:dyDescent="0.25">
      <c r="B1379" s="1" t="s">
        <v>402</v>
      </c>
      <c r="C1379" s="191">
        <v>3461.84</v>
      </c>
      <c r="E1379" s="211">
        <v>0</v>
      </c>
      <c r="F1379" s="211">
        <v>0</v>
      </c>
      <c r="G1379" s="212">
        <f>+E1379*C1379</f>
        <v>0</v>
      </c>
      <c r="H1379" s="212">
        <f>+F1379*C1379</f>
        <v>0</v>
      </c>
    </row>
    <row r="1380" spans="2:8" hidden="1" outlineLevel="2" x14ac:dyDescent="0.25">
      <c r="B1380" s="1" t="s">
        <v>266</v>
      </c>
      <c r="C1380" s="191">
        <v>3911.4</v>
      </c>
      <c r="E1380" s="211">
        <v>0</v>
      </c>
      <c r="F1380" s="211">
        <v>0</v>
      </c>
      <c r="G1380" s="212">
        <f>+E1380*C1380</f>
        <v>0</v>
      </c>
      <c r="H1380" s="212">
        <f>+F1380*C1380</f>
        <v>0</v>
      </c>
    </row>
    <row r="1381" spans="2:8" hidden="1" outlineLevel="2" x14ac:dyDescent="0.25">
      <c r="B1381" s="1" t="s">
        <v>267</v>
      </c>
      <c r="C1381" s="191">
        <v>20762.55</v>
      </c>
      <c r="E1381" s="211">
        <v>0</v>
      </c>
      <c r="F1381" s="211">
        <v>0</v>
      </c>
      <c r="G1381" s="212">
        <f>+E1381*C1381</f>
        <v>0</v>
      </c>
      <c r="H1381" s="212">
        <f>+F1381*C1381</f>
        <v>0</v>
      </c>
    </row>
    <row r="1382" spans="2:8" hidden="1" outlineLevel="2" x14ac:dyDescent="0.25">
      <c r="B1382" s="1" t="s">
        <v>268</v>
      </c>
      <c r="C1382" s="191">
        <v>2863.8</v>
      </c>
      <c r="E1382" s="211">
        <v>0</v>
      </c>
      <c r="F1382" s="211">
        <v>0</v>
      </c>
      <c r="G1382" s="212">
        <f>+E1382*C1382</f>
        <v>0</v>
      </c>
      <c r="H1382" s="212">
        <f>+F1382*C1382</f>
        <v>0</v>
      </c>
    </row>
    <row r="1383" spans="2:8" hidden="1" outlineLevel="2" x14ac:dyDescent="0.25">
      <c r="B1383" s="1" t="s">
        <v>269</v>
      </c>
      <c r="C1383" s="191">
        <v>3432.1</v>
      </c>
      <c r="E1383" s="211">
        <v>0</v>
      </c>
      <c r="F1383" s="211">
        <v>0</v>
      </c>
      <c r="G1383" s="212">
        <f>+E1383*C1383</f>
        <v>0</v>
      </c>
      <c r="H1383" s="212">
        <f>+F1383*C1383</f>
        <v>0</v>
      </c>
    </row>
    <row r="1384" spans="2:8" hidden="1" outlineLevel="2" x14ac:dyDescent="0.25">
      <c r="B1384" s="1" t="s">
        <v>270</v>
      </c>
      <c r="C1384" s="191">
        <v>1908.96</v>
      </c>
      <c r="E1384" s="211">
        <v>0</v>
      </c>
      <c r="F1384" s="211">
        <v>0</v>
      </c>
      <c r="G1384" s="212">
        <f>+E1384*C1384</f>
        <v>0</v>
      </c>
      <c r="H1384" s="212">
        <f>+F1384*C1384</f>
        <v>0</v>
      </c>
    </row>
    <row r="1385" spans="2:8" hidden="1" outlineLevel="2" x14ac:dyDescent="0.25">
      <c r="B1385" s="1" t="s">
        <v>271</v>
      </c>
      <c r="C1385" s="191">
        <v>3674.2</v>
      </c>
      <c r="E1385" s="211">
        <v>0</v>
      </c>
      <c r="F1385" s="211">
        <v>0</v>
      </c>
      <c r="G1385" s="212">
        <f>+E1385*C1385</f>
        <v>0</v>
      </c>
      <c r="H1385" s="212">
        <f>+F1385*C1385</f>
        <v>0</v>
      </c>
    </row>
    <row r="1386" spans="2:8" hidden="1" outlineLevel="1" collapsed="1" x14ac:dyDescent="0.25">
      <c r="B1386" s="207" t="s">
        <v>273</v>
      </c>
      <c r="C1386" s="208">
        <v>60690.93</v>
      </c>
      <c r="E1386" s="209"/>
      <c r="F1386" s="209"/>
      <c r="G1386" s="210"/>
      <c r="H1386" s="210"/>
    </row>
    <row r="1387" spans="2:8" hidden="1" outlineLevel="2" x14ac:dyDescent="0.25">
      <c r="B1387" s="1" t="s">
        <v>403</v>
      </c>
      <c r="C1387" s="191">
        <v>5970.02</v>
      </c>
      <c r="E1387" s="211">
        <v>0</v>
      </c>
      <c r="F1387" s="211">
        <v>0</v>
      </c>
      <c r="G1387" s="212">
        <f>+E1387*C1387</f>
        <v>0</v>
      </c>
      <c r="H1387" s="212">
        <f>+F1387*C1387</f>
        <v>0</v>
      </c>
    </row>
    <row r="1388" spans="2:8" hidden="1" outlineLevel="2" x14ac:dyDescent="0.25">
      <c r="B1388" s="1" t="s">
        <v>404</v>
      </c>
      <c r="C1388" s="191">
        <v>3607.47</v>
      </c>
      <c r="E1388" s="211">
        <v>0</v>
      </c>
      <c r="F1388" s="211">
        <v>0</v>
      </c>
      <c r="G1388" s="212">
        <f>+E1388*C1388</f>
        <v>0</v>
      </c>
      <c r="H1388" s="212">
        <f>+F1388*C1388</f>
        <v>0</v>
      </c>
    </row>
    <row r="1389" spans="2:8" hidden="1" outlineLevel="2" x14ac:dyDescent="0.25">
      <c r="B1389" s="1" t="s">
        <v>405</v>
      </c>
      <c r="C1389" s="191">
        <v>7359.88</v>
      </c>
      <c r="E1389" s="211">
        <v>0</v>
      </c>
      <c r="F1389" s="211">
        <v>0</v>
      </c>
      <c r="G1389" s="212">
        <f>+E1389*C1389</f>
        <v>0</v>
      </c>
      <c r="H1389" s="212">
        <f>+F1389*C1389</f>
        <v>0</v>
      </c>
    </row>
    <row r="1390" spans="2:8" hidden="1" outlineLevel="2" x14ac:dyDescent="0.25">
      <c r="B1390" s="1" t="s">
        <v>275</v>
      </c>
      <c r="C1390" s="191">
        <v>1322.48</v>
      </c>
      <c r="E1390" s="211">
        <v>0</v>
      </c>
      <c r="F1390" s="211">
        <v>0</v>
      </c>
      <c r="G1390" s="212">
        <f>+E1390*C1390</f>
        <v>0</v>
      </c>
      <c r="H1390" s="212">
        <f>+F1390*C1390</f>
        <v>0</v>
      </c>
    </row>
    <row r="1391" spans="2:8" hidden="1" outlineLevel="2" x14ac:dyDescent="0.25">
      <c r="B1391" s="1" t="s">
        <v>276</v>
      </c>
      <c r="C1391" s="191">
        <v>786.65</v>
      </c>
      <c r="E1391" s="211">
        <v>0</v>
      </c>
      <c r="F1391" s="211">
        <v>0</v>
      </c>
      <c r="G1391" s="212">
        <f>+E1391*C1391</f>
        <v>0</v>
      </c>
      <c r="H1391" s="212">
        <f>+F1391*C1391</f>
        <v>0</v>
      </c>
    </row>
    <row r="1392" spans="2:8" hidden="1" outlineLevel="2" x14ac:dyDescent="0.25">
      <c r="B1392" s="1" t="s">
        <v>277</v>
      </c>
      <c r="C1392" s="191">
        <v>1545.82</v>
      </c>
      <c r="E1392" s="211">
        <v>0</v>
      </c>
      <c r="F1392" s="211">
        <v>0</v>
      </c>
      <c r="G1392" s="212">
        <f>+E1392*C1392</f>
        <v>0</v>
      </c>
      <c r="H1392" s="212">
        <f>+F1392*C1392</f>
        <v>0</v>
      </c>
    </row>
    <row r="1393" spans="2:8" hidden="1" outlineLevel="2" x14ac:dyDescent="0.25">
      <c r="B1393" s="1" t="s">
        <v>278</v>
      </c>
      <c r="C1393" s="191">
        <v>431.48</v>
      </c>
      <c r="E1393" s="211">
        <v>0</v>
      </c>
      <c r="F1393" s="211">
        <v>0</v>
      </c>
      <c r="G1393" s="212">
        <f>+E1393*C1393</f>
        <v>0</v>
      </c>
      <c r="H1393" s="212">
        <f>+F1393*C1393</f>
        <v>0</v>
      </c>
    </row>
    <row r="1394" spans="2:8" hidden="1" outlineLevel="2" x14ac:dyDescent="0.25">
      <c r="B1394" s="1" t="s">
        <v>279</v>
      </c>
      <c r="C1394" s="191">
        <v>4637.46</v>
      </c>
      <c r="E1394" s="211">
        <v>0</v>
      </c>
      <c r="F1394" s="211">
        <v>0</v>
      </c>
      <c r="G1394" s="212">
        <f>+E1394*C1394</f>
        <v>0</v>
      </c>
      <c r="H1394" s="212">
        <f>+F1394*C1394</f>
        <v>0</v>
      </c>
    </row>
    <row r="1395" spans="2:8" hidden="1" outlineLevel="2" x14ac:dyDescent="0.25">
      <c r="B1395" s="1" t="s">
        <v>280</v>
      </c>
      <c r="C1395" s="191">
        <v>0</v>
      </c>
      <c r="E1395" s="211">
        <v>0</v>
      </c>
      <c r="F1395" s="211">
        <v>0</v>
      </c>
      <c r="G1395" s="212">
        <f>+E1395*C1395</f>
        <v>0</v>
      </c>
      <c r="H1395" s="212">
        <f>+F1395*C1395</f>
        <v>0</v>
      </c>
    </row>
    <row r="1396" spans="2:8" hidden="1" outlineLevel="2" x14ac:dyDescent="0.25">
      <c r="B1396" s="1" t="s">
        <v>281</v>
      </c>
      <c r="C1396" s="191">
        <v>1865.46</v>
      </c>
      <c r="E1396" s="211">
        <v>0</v>
      </c>
      <c r="F1396" s="211">
        <v>0</v>
      </c>
      <c r="G1396" s="212">
        <f>+E1396*C1396</f>
        <v>0</v>
      </c>
      <c r="H1396" s="212">
        <f>+F1396*C1396</f>
        <v>0</v>
      </c>
    </row>
    <row r="1397" spans="2:8" hidden="1" outlineLevel="2" x14ac:dyDescent="0.25">
      <c r="B1397" s="1" t="s">
        <v>282</v>
      </c>
      <c r="C1397" s="191">
        <v>711.4</v>
      </c>
      <c r="E1397" s="211">
        <v>0</v>
      </c>
      <c r="F1397" s="211">
        <v>0</v>
      </c>
      <c r="G1397" s="212">
        <f>+E1397*C1397</f>
        <v>0</v>
      </c>
      <c r="H1397" s="212">
        <f>+F1397*C1397</f>
        <v>0</v>
      </c>
    </row>
    <row r="1398" spans="2:8" hidden="1" outlineLevel="2" x14ac:dyDescent="0.25">
      <c r="B1398" s="1" t="s">
        <v>283</v>
      </c>
      <c r="C1398" s="191">
        <v>564.32000000000005</v>
      </c>
      <c r="E1398" s="211">
        <v>0</v>
      </c>
      <c r="F1398" s="211">
        <v>0</v>
      </c>
      <c r="G1398" s="212">
        <f>+E1398*C1398</f>
        <v>0</v>
      </c>
      <c r="H1398" s="212">
        <f>+F1398*C1398</f>
        <v>0</v>
      </c>
    </row>
    <row r="1399" spans="2:8" hidden="1" outlineLevel="2" x14ac:dyDescent="0.25">
      <c r="B1399" s="1" t="s">
        <v>284</v>
      </c>
      <c r="C1399" s="191">
        <v>1422.8</v>
      </c>
      <c r="E1399" s="211">
        <v>0</v>
      </c>
      <c r="F1399" s="211">
        <v>0</v>
      </c>
      <c r="G1399" s="212">
        <f>+E1399*C1399</f>
        <v>0</v>
      </c>
      <c r="H1399" s="212">
        <f>+F1399*C1399</f>
        <v>0</v>
      </c>
    </row>
    <row r="1400" spans="2:8" hidden="1" outlineLevel="2" x14ac:dyDescent="0.25">
      <c r="B1400" s="1" t="s">
        <v>285</v>
      </c>
      <c r="C1400" s="191">
        <v>564.32000000000005</v>
      </c>
      <c r="E1400" s="211">
        <v>0</v>
      </c>
      <c r="F1400" s="211">
        <v>0</v>
      </c>
      <c r="G1400" s="212">
        <f>+E1400*C1400</f>
        <v>0</v>
      </c>
      <c r="H1400" s="212">
        <f>+F1400*C1400</f>
        <v>0</v>
      </c>
    </row>
    <row r="1401" spans="2:8" hidden="1" outlineLevel="2" x14ac:dyDescent="0.25">
      <c r="B1401" s="1" t="s">
        <v>286</v>
      </c>
      <c r="C1401" s="191">
        <v>2845.6</v>
      </c>
      <c r="E1401" s="211">
        <v>0</v>
      </c>
      <c r="F1401" s="211">
        <v>0</v>
      </c>
      <c r="G1401" s="212">
        <f>+E1401*C1401</f>
        <v>0</v>
      </c>
      <c r="H1401" s="212">
        <f>+F1401*C1401</f>
        <v>0</v>
      </c>
    </row>
    <row r="1402" spans="2:8" hidden="1" outlineLevel="2" x14ac:dyDescent="0.25">
      <c r="B1402" s="1" t="s">
        <v>287</v>
      </c>
      <c r="C1402" s="191">
        <v>1185</v>
      </c>
      <c r="E1402" s="211">
        <v>0</v>
      </c>
      <c r="F1402" s="211">
        <v>0</v>
      </c>
      <c r="G1402" s="212">
        <f>+E1402*C1402</f>
        <v>0</v>
      </c>
      <c r="H1402" s="212">
        <f>+F1402*C1402</f>
        <v>0</v>
      </c>
    </row>
    <row r="1403" spans="2:8" hidden="1" outlineLevel="2" x14ac:dyDescent="0.25">
      <c r="B1403" s="1" t="s">
        <v>288</v>
      </c>
      <c r="C1403" s="191">
        <v>1765.02</v>
      </c>
      <c r="E1403" s="211">
        <v>0</v>
      </c>
      <c r="F1403" s="211">
        <v>0</v>
      </c>
      <c r="G1403" s="212">
        <f>+E1403*C1403</f>
        <v>0</v>
      </c>
      <c r="H1403" s="212">
        <f>+F1403*C1403</f>
        <v>0</v>
      </c>
    </row>
    <row r="1404" spans="2:8" hidden="1" outlineLevel="2" x14ac:dyDescent="0.25">
      <c r="B1404" s="1" t="s">
        <v>289</v>
      </c>
      <c r="C1404" s="191">
        <v>2271.96</v>
      </c>
      <c r="E1404" s="211">
        <v>0</v>
      </c>
      <c r="F1404" s="211">
        <v>0</v>
      </c>
      <c r="G1404" s="212">
        <f>+E1404*C1404</f>
        <v>0</v>
      </c>
      <c r="H1404" s="212">
        <f>+F1404*C1404</f>
        <v>0</v>
      </c>
    </row>
    <row r="1405" spans="2:8" hidden="1" outlineLevel="2" x14ac:dyDescent="0.25">
      <c r="B1405" s="1" t="s">
        <v>290</v>
      </c>
      <c r="C1405" s="191">
        <v>1176.68</v>
      </c>
      <c r="E1405" s="211">
        <v>0</v>
      </c>
      <c r="F1405" s="211">
        <v>0</v>
      </c>
      <c r="G1405" s="212">
        <f>+E1405*C1405</f>
        <v>0</v>
      </c>
      <c r="H1405" s="212">
        <f>+F1405*C1405</f>
        <v>0</v>
      </c>
    </row>
    <row r="1406" spans="2:8" hidden="1" outlineLevel="2" x14ac:dyDescent="0.25">
      <c r="B1406" s="1" t="s">
        <v>291</v>
      </c>
      <c r="C1406" s="191">
        <v>592.5</v>
      </c>
      <c r="E1406" s="211">
        <v>0</v>
      </c>
      <c r="F1406" s="211">
        <v>0</v>
      </c>
      <c r="G1406" s="212">
        <f>+E1406*C1406</f>
        <v>0</v>
      </c>
      <c r="H1406" s="212">
        <f>+F1406*C1406</f>
        <v>0</v>
      </c>
    </row>
    <row r="1407" spans="2:8" hidden="1" outlineLevel="2" x14ac:dyDescent="0.25">
      <c r="B1407" s="1" t="s">
        <v>292</v>
      </c>
      <c r="C1407" s="191">
        <v>4417.83</v>
      </c>
      <c r="E1407" s="211">
        <v>0</v>
      </c>
      <c r="F1407" s="211">
        <v>0</v>
      </c>
      <c r="G1407" s="212">
        <f>+E1407*C1407</f>
        <v>0</v>
      </c>
      <c r="H1407" s="212">
        <f>+F1407*C1407</f>
        <v>0</v>
      </c>
    </row>
    <row r="1408" spans="2:8" hidden="1" outlineLevel="2" x14ac:dyDescent="0.25">
      <c r="B1408" s="1" t="s">
        <v>293</v>
      </c>
      <c r="C1408" s="191">
        <v>2656.08</v>
      </c>
      <c r="E1408" s="211">
        <v>0</v>
      </c>
      <c r="F1408" s="211">
        <v>0</v>
      </c>
      <c r="G1408" s="212">
        <f>+E1408*C1408</f>
        <v>0</v>
      </c>
      <c r="H1408" s="212">
        <f>+F1408*C1408</f>
        <v>0</v>
      </c>
    </row>
    <row r="1409" spans="2:8" hidden="1" outlineLevel="2" x14ac:dyDescent="0.25">
      <c r="B1409" s="1" t="s">
        <v>294</v>
      </c>
      <c r="C1409" s="191">
        <v>5226.34</v>
      </c>
      <c r="E1409" s="211">
        <v>0</v>
      </c>
      <c r="F1409" s="211">
        <v>0</v>
      </c>
      <c r="G1409" s="212">
        <f>+E1409*C1409</f>
        <v>0</v>
      </c>
      <c r="H1409" s="212">
        <f>+F1409*C1409</f>
        <v>0</v>
      </c>
    </row>
    <row r="1410" spans="2:8" hidden="1" outlineLevel="2" x14ac:dyDescent="0.25">
      <c r="B1410" s="1" t="s">
        <v>406</v>
      </c>
      <c r="C1410" s="191">
        <v>1306.58</v>
      </c>
      <c r="E1410" s="211">
        <v>0</v>
      </c>
      <c r="F1410" s="211">
        <v>0</v>
      </c>
      <c r="G1410" s="212">
        <f>+E1410*C1410</f>
        <v>0</v>
      </c>
      <c r="H1410" s="212">
        <f>+F1410*C1410</f>
        <v>0</v>
      </c>
    </row>
    <row r="1411" spans="2:8" hidden="1" outlineLevel="2" x14ac:dyDescent="0.25">
      <c r="B1411" s="1" t="s">
        <v>407</v>
      </c>
      <c r="C1411" s="191">
        <v>287.5</v>
      </c>
      <c r="E1411" s="211">
        <v>0</v>
      </c>
      <c r="F1411" s="211">
        <v>0</v>
      </c>
      <c r="G1411" s="212">
        <f>+E1411*C1411</f>
        <v>0</v>
      </c>
      <c r="H1411" s="212">
        <f>+F1411*C1411</f>
        <v>0</v>
      </c>
    </row>
    <row r="1412" spans="2:8" hidden="1" outlineLevel="2" x14ac:dyDescent="0.25">
      <c r="B1412" s="1" t="s">
        <v>408</v>
      </c>
      <c r="C1412" s="191">
        <v>287.5</v>
      </c>
      <c r="E1412" s="211">
        <v>0</v>
      </c>
      <c r="F1412" s="211">
        <v>0</v>
      </c>
      <c r="G1412" s="212">
        <f>+E1412*C1412</f>
        <v>0</v>
      </c>
      <c r="H1412" s="212">
        <f>+F1412*C1412</f>
        <v>0</v>
      </c>
    </row>
    <row r="1413" spans="2:8" hidden="1" outlineLevel="2" x14ac:dyDescent="0.25">
      <c r="B1413" s="1" t="s">
        <v>409</v>
      </c>
      <c r="C1413" s="191">
        <v>2157.4</v>
      </c>
      <c r="E1413" s="211">
        <v>0</v>
      </c>
      <c r="F1413" s="211">
        <v>0</v>
      </c>
      <c r="G1413" s="212">
        <f>+E1413*C1413</f>
        <v>0</v>
      </c>
      <c r="H1413" s="212">
        <f>+F1413*C1413</f>
        <v>0</v>
      </c>
    </row>
    <row r="1414" spans="2:8" hidden="1" outlineLevel="2" x14ac:dyDescent="0.25">
      <c r="B1414" s="1" t="s">
        <v>410</v>
      </c>
      <c r="C1414" s="191">
        <v>2318.73</v>
      </c>
      <c r="E1414" s="211">
        <v>0</v>
      </c>
      <c r="F1414" s="211">
        <v>0</v>
      </c>
      <c r="G1414" s="212">
        <f>+E1414*C1414</f>
        <v>0</v>
      </c>
      <c r="H1414" s="212">
        <f>+F1414*C1414</f>
        <v>0</v>
      </c>
    </row>
    <row r="1415" spans="2:8" hidden="1" outlineLevel="2" x14ac:dyDescent="0.25">
      <c r="B1415" s="1" t="s">
        <v>295</v>
      </c>
      <c r="C1415" s="191">
        <v>663.84</v>
      </c>
      <c r="E1415" s="211">
        <v>0</v>
      </c>
      <c r="F1415" s="211">
        <v>0</v>
      </c>
      <c r="G1415" s="212">
        <f>+E1415*C1415</f>
        <v>0</v>
      </c>
      <c r="H1415" s="212">
        <f>+F1415*C1415</f>
        <v>0</v>
      </c>
    </row>
    <row r="1416" spans="2:8" hidden="1" outlineLevel="2" x14ac:dyDescent="0.25">
      <c r="B1416" s="1" t="s">
        <v>296</v>
      </c>
      <c r="C1416" s="191">
        <v>742.81</v>
      </c>
      <c r="E1416" s="211">
        <v>0</v>
      </c>
      <c r="F1416" s="211">
        <v>0</v>
      </c>
      <c r="G1416" s="212">
        <f>+E1416*C1416</f>
        <v>0</v>
      </c>
      <c r="H1416" s="212">
        <f>+F1416*C1416</f>
        <v>0</v>
      </c>
    </row>
    <row r="1417" spans="2:8" hidden="1" outlineLevel="1" collapsed="1" x14ac:dyDescent="0.25">
      <c r="B1417" s="207" t="s">
        <v>297</v>
      </c>
      <c r="C1417" s="208">
        <v>12289.42</v>
      </c>
      <c r="E1417" s="209"/>
      <c r="F1417" s="209"/>
      <c r="G1417" s="210"/>
      <c r="H1417" s="210"/>
    </row>
    <row r="1418" spans="2:8" hidden="1" outlineLevel="2" x14ac:dyDescent="0.25">
      <c r="B1418" s="1" t="s">
        <v>298</v>
      </c>
      <c r="C1418" s="191">
        <v>11607.8</v>
      </c>
      <c r="E1418" s="211">
        <v>0</v>
      </c>
      <c r="F1418" s="211">
        <v>0</v>
      </c>
      <c r="G1418" s="212">
        <f>+E1418*C1418</f>
        <v>0</v>
      </c>
      <c r="H1418" s="212">
        <f>+F1418*C1418</f>
        <v>0</v>
      </c>
    </row>
    <row r="1419" spans="2:8" hidden="1" outlineLevel="2" x14ac:dyDescent="0.25">
      <c r="B1419" s="1" t="s">
        <v>107</v>
      </c>
      <c r="C1419" s="191">
        <v>681.62</v>
      </c>
      <c r="E1419" s="211">
        <v>0</v>
      </c>
      <c r="F1419" s="211">
        <v>0</v>
      </c>
      <c r="G1419" s="212">
        <f>+E1419*C1419</f>
        <v>0</v>
      </c>
      <c r="H1419" s="212">
        <f>+F1419*C1419</f>
        <v>0</v>
      </c>
    </row>
    <row r="1420" spans="2:8" hidden="1" outlineLevel="1" collapsed="1" x14ac:dyDescent="0.25">
      <c r="B1420" s="207" t="s">
        <v>299</v>
      </c>
      <c r="C1420" s="208">
        <v>47416.79</v>
      </c>
      <c r="E1420" s="209"/>
      <c r="F1420" s="209"/>
      <c r="G1420" s="210"/>
      <c r="H1420" s="210"/>
    </row>
    <row r="1421" spans="2:8" hidden="1" outlineLevel="2" x14ac:dyDescent="0.25">
      <c r="B1421" s="1" t="s">
        <v>411</v>
      </c>
      <c r="C1421" s="191">
        <v>13692.87</v>
      </c>
      <c r="E1421" s="211">
        <v>0</v>
      </c>
      <c r="F1421" s="211">
        <v>0</v>
      </c>
      <c r="G1421" s="212">
        <f>+E1421*C1421</f>
        <v>0</v>
      </c>
      <c r="H1421" s="212">
        <f>+F1421*C1421</f>
        <v>0</v>
      </c>
    </row>
    <row r="1422" spans="2:8" hidden="1" outlineLevel="2" x14ac:dyDescent="0.25">
      <c r="B1422" s="1" t="s">
        <v>412</v>
      </c>
      <c r="C1422" s="191">
        <v>1447.83</v>
      </c>
      <c r="E1422" s="211">
        <v>0</v>
      </c>
      <c r="F1422" s="211">
        <v>0</v>
      </c>
      <c r="G1422" s="212">
        <f>+E1422*C1422</f>
        <v>0</v>
      </c>
      <c r="H1422" s="212">
        <f>+F1422*C1422</f>
        <v>0</v>
      </c>
    </row>
    <row r="1423" spans="2:8" hidden="1" outlineLevel="2" x14ac:dyDescent="0.25">
      <c r="B1423" s="1" t="s">
        <v>413</v>
      </c>
      <c r="C1423" s="191">
        <v>7359.9</v>
      </c>
      <c r="E1423" s="211">
        <v>0</v>
      </c>
      <c r="F1423" s="211">
        <v>0</v>
      </c>
      <c r="G1423" s="212">
        <f>+E1423*C1423</f>
        <v>0</v>
      </c>
      <c r="H1423" s="212">
        <f>+F1423*C1423</f>
        <v>0</v>
      </c>
    </row>
    <row r="1424" spans="2:8" hidden="1" outlineLevel="2" x14ac:dyDescent="0.25">
      <c r="B1424" s="1" t="s">
        <v>414</v>
      </c>
      <c r="C1424" s="191">
        <v>5979.92</v>
      </c>
      <c r="E1424" s="211">
        <v>0</v>
      </c>
      <c r="F1424" s="211">
        <v>0</v>
      </c>
      <c r="G1424" s="212">
        <f>+E1424*C1424</f>
        <v>0</v>
      </c>
      <c r="H1424" s="212">
        <f>+F1424*C1424</f>
        <v>0</v>
      </c>
    </row>
    <row r="1425" spans="2:8" hidden="1" outlineLevel="2" x14ac:dyDescent="0.25">
      <c r="B1425" s="1" t="s">
        <v>415</v>
      </c>
      <c r="C1425" s="191">
        <v>3255.54</v>
      </c>
      <c r="E1425" s="211">
        <v>0</v>
      </c>
      <c r="F1425" s="211">
        <v>0</v>
      </c>
      <c r="G1425" s="212">
        <f>+E1425*C1425</f>
        <v>0</v>
      </c>
      <c r="H1425" s="212">
        <f>+F1425*C1425</f>
        <v>0</v>
      </c>
    </row>
    <row r="1426" spans="2:8" hidden="1" outlineLevel="2" x14ac:dyDescent="0.25">
      <c r="B1426" s="1" t="s">
        <v>416</v>
      </c>
      <c r="C1426" s="191">
        <v>4242.66</v>
      </c>
      <c r="E1426" s="211">
        <v>0</v>
      </c>
      <c r="F1426" s="211">
        <v>0</v>
      </c>
      <c r="G1426" s="212">
        <f>+E1426*C1426</f>
        <v>0</v>
      </c>
      <c r="H1426" s="212">
        <f>+F1426*C1426</f>
        <v>0</v>
      </c>
    </row>
    <row r="1427" spans="2:8" hidden="1" outlineLevel="2" x14ac:dyDescent="0.25">
      <c r="B1427" s="1" t="s">
        <v>417</v>
      </c>
      <c r="C1427" s="191">
        <v>5242.8599999999997</v>
      </c>
      <c r="E1427" s="211">
        <v>0</v>
      </c>
      <c r="F1427" s="211">
        <v>0</v>
      </c>
      <c r="G1427" s="212">
        <f>+E1427*C1427</f>
        <v>0</v>
      </c>
      <c r="H1427" s="212">
        <f>+F1427*C1427</f>
        <v>0</v>
      </c>
    </row>
    <row r="1428" spans="2:8" hidden="1" outlineLevel="2" x14ac:dyDescent="0.25">
      <c r="B1428" s="1" t="s">
        <v>418</v>
      </c>
      <c r="C1428" s="191">
        <v>4950.6899999999996</v>
      </c>
      <c r="E1428" s="211">
        <v>0</v>
      </c>
      <c r="F1428" s="211">
        <v>0</v>
      </c>
      <c r="G1428" s="212">
        <f>+E1428*C1428</f>
        <v>0</v>
      </c>
      <c r="H1428" s="212">
        <f>+F1428*C1428</f>
        <v>0</v>
      </c>
    </row>
    <row r="1429" spans="2:8" hidden="1" outlineLevel="2" x14ac:dyDescent="0.25">
      <c r="B1429" s="1" t="s">
        <v>419</v>
      </c>
      <c r="C1429" s="191">
        <v>1244.52</v>
      </c>
      <c r="E1429" s="211">
        <v>0</v>
      </c>
      <c r="F1429" s="211">
        <v>0</v>
      </c>
      <c r="G1429" s="212">
        <f>+E1429*C1429</f>
        <v>0</v>
      </c>
      <c r="H1429" s="212">
        <f>+F1429*C1429</f>
        <v>0</v>
      </c>
    </row>
    <row r="1430" spans="2:8" hidden="1" outlineLevel="1" collapsed="1" x14ac:dyDescent="0.25">
      <c r="B1430" s="207" t="s">
        <v>308</v>
      </c>
      <c r="C1430" s="208">
        <v>34791.15</v>
      </c>
      <c r="E1430" s="209"/>
      <c r="F1430" s="209"/>
      <c r="G1430" s="210"/>
      <c r="H1430" s="210"/>
    </row>
    <row r="1431" spans="2:8" hidden="1" outlineLevel="2" x14ac:dyDescent="0.25">
      <c r="B1431" s="1" t="s">
        <v>309</v>
      </c>
      <c r="C1431" s="191">
        <v>1197.02</v>
      </c>
      <c r="E1431" s="211">
        <v>0</v>
      </c>
      <c r="F1431" s="211">
        <v>0</v>
      </c>
      <c r="G1431" s="212">
        <f>+E1431*C1431</f>
        <v>0</v>
      </c>
      <c r="H1431" s="212">
        <f>+F1431*C1431</f>
        <v>0</v>
      </c>
    </row>
    <row r="1432" spans="2:8" hidden="1" outlineLevel="2" x14ac:dyDescent="0.25">
      <c r="B1432" s="1" t="s">
        <v>310</v>
      </c>
      <c r="C1432" s="191">
        <v>1437.48</v>
      </c>
      <c r="E1432" s="211">
        <v>0</v>
      </c>
      <c r="F1432" s="211">
        <v>0</v>
      </c>
      <c r="G1432" s="212">
        <f>+E1432*C1432</f>
        <v>0</v>
      </c>
      <c r="H1432" s="212">
        <f>+F1432*C1432</f>
        <v>0</v>
      </c>
    </row>
    <row r="1433" spans="2:8" hidden="1" outlineLevel="2" x14ac:dyDescent="0.25">
      <c r="B1433" s="1" t="s">
        <v>311</v>
      </c>
      <c r="C1433" s="191">
        <v>431.24</v>
      </c>
      <c r="E1433" s="211">
        <v>0</v>
      </c>
      <c r="F1433" s="211">
        <v>0</v>
      </c>
      <c r="G1433" s="212">
        <f>+E1433*C1433</f>
        <v>0</v>
      </c>
      <c r="H1433" s="212">
        <f>+F1433*C1433</f>
        <v>0</v>
      </c>
    </row>
    <row r="1434" spans="2:8" hidden="1" outlineLevel="2" x14ac:dyDescent="0.25">
      <c r="B1434" s="1" t="s">
        <v>312</v>
      </c>
      <c r="C1434" s="191">
        <v>7647.39</v>
      </c>
      <c r="E1434" s="211">
        <v>0</v>
      </c>
      <c r="F1434" s="211">
        <v>0</v>
      </c>
      <c r="G1434" s="212">
        <f>+E1434*C1434</f>
        <v>0</v>
      </c>
      <c r="H1434" s="212">
        <f>+F1434*C1434</f>
        <v>0</v>
      </c>
    </row>
    <row r="1435" spans="2:8" hidden="1" outlineLevel="2" x14ac:dyDescent="0.25">
      <c r="B1435" s="1" t="s">
        <v>313</v>
      </c>
      <c r="C1435" s="191">
        <v>10349.86</v>
      </c>
      <c r="E1435" s="211">
        <v>0</v>
      </c>
      <c r="F1435" s="211">
        <v>0</v>
      </c>
      <c r="G1435" s="212">
        <f>+E1435*C1435</f>
        <v>0</v>
      </c>
      <c r="H1435" s="212">
        <f>+F1435*C1435</f>
        <v>0</v>
      </c>
    </row>
    <row r="1436" spans="2:8" hidden="1" outlineLevel="2" x14ac:dyDescent="0.25">
      <c r="B1436" s="1" t="s">
        <v>314</v>
      </c>
      <c r="C1436" s="191">
        <v>13728.16</v>
      </c>
      <c r="E1436" s="211">
        <v>0</v>
      </c>
      <c r="F1436" s="211">
        <v>0</v>
      </c>
      <c r="G1436" s="212">
        <f>+E1436*C1436</f>
        <v>0</v>
      </c>
      <c r="H1436" s="212">
        <f>+F1436*C1436</f>
        <v>0</v>
      </c>
    </row>
    <row r="1437" spans="2:8" hidden="1" outlineLevel="1" collapsed="1" x14ac:dyDescent="0.25">
      <c r="B1437" s="207" t="s">
        <v>315</v>
      </c>
      <c r="C1437" s="208">
        <v>45313.31</v>
      </c>
      <c r="E1437" s="209"/>
      <c r="F1437" s="209"/>
      <c r="G1437" s="210"/>
      <c r="H1437" s="210"/>
    </row>
    <row r="1438" spans="2:8" hidden="1" outlineLevel="2" x14ac:dyDescent="0.25">
      <c r="B1438" s="1" t="s">
        <v>420</v>
      </c>
      <c r="C1438" s="191">
        <v>1472.5</v>
      </c>
      <c r="E1438" s="211">
        <v>0</v>
      </c>
      <c r="F1438" s="211">
        <v>0</v>
      </c>
      <c r="G1438" s="212">
        <f>+E1438*C1438</f>
        <v>0</v>
      </c>
      <c r="H1438" s="212">
        <f>+F1438*C1438</f>
        <v>0</v>
      </c>
    </row>
    <row r="1439" spans="2:8" hidden="1" outlineLevel="2" x14ac:dyDescent="0.25">
      <c r="B1439" s="1" t="s">
        <v>421</v>
      </c>
      <c r="C1439" s="191">
        <v>3219.96</v>
      </c>
      <c r="E1439" s="211">
        <v>0</v>
      </c>
      <c r="F1439" s="211">
        <v>0</v>
      </c>
      <c r="G1439" s="212">
        <f>+E1439*C1439</f>
        <v>0</v>
      </c>
      <c r="H1439" s="212">
        <f>+F1439*C1439</f>
        <v>0</v>
      </c>
    </row>
    <row r="1440" spans="2:8" hidden="1" outlineLevel="2" x14ac:dyDescent="0.25">
      <c r="B1440" s="1" t="s">
        <v>422</v>
      </c>
      <c r="C1440" s="191">
        <v>9168.7800000000007</v>
      </c>
      <c r="E1440" s="211">
        <v>0</v>
      </c>
      <c r="F1440" s="211">
        <v>0</v>
      </c>
      <c r="G1440" s="212">
        <f>+E1440*C1440</f>
        <v>0</v>
      </c>
      <c r="H1440" s="212">
        <f>+F1440*C1440</f>
        <v>0</v>
      </c>
    </row>
    <row r="1441" spans="2:8" hidden="1" outlineLevel="2" x14ac:dyDescent="0.25">
      <c r="B1441" s="1" t="s">
        <v>423</v>
      </c>
      <c r="C1441" s="191">
        <v>3104.94</v>
      </c>
      <c r="E1441" s="211">
        <v>0</v>
      </c>
      <c r="F1441" s="211">
        <v>0</v>
      </c>
      <c r="G1441" s="212">
        <f>+E1441*C1441</f>
        <v>0</v>
      </c>
      <c r="H1441" s="212">
        <f>+F1441*C1441</f>
        <v>0</v>
      </c>
    </row>
    <row r="1442" spans="2:8" hidden="1" outlineLevel="2" x14ac:dyDescent="0.25">
      <c r="B1442" s="1" t="s">
        <v>424</v>
      </c>
      <c r="C1442" s="191">
        <v>19319.759999999998</v>
      </c>
      <c r="E1442" s="211">
        <v>0</v>
      </c>
      <c r="F1442" s="211">
        <v>0</v>
      </c>
      <c r="G1442" s="212">
        <f>+E1442*C1442</f>
        <v>0</v>
      </c>
      <c r="H1442" s="212">
        <f>+F1442*C1442</f>
        <v>0</v>
      </c>
    </row>
    <row r="1443" spans="2:8" hidden="1" outlineLevel="2" x14ac:dyDescent="0.25">
      <c r="B1443" s="1" t="s">
        <v>425</v>
      </c>
      <c r="C1443" s="191">
        <v>7129.92</v>
      </c>
      <c r="E1443" s="211">
        <v>0</v>
      </c>
      <c r="F1443" s="211">
        <v>0</v>
      </c>
      <c r="G1443" s="212">
        <f>+E1443*C1443</f>
        <v>0</v>
      </c>
      <c r="H1443" s="212">
        <f>+F1443*C1443</f>
        <v>0</v>
      </c>
    </row>
    <row r="1444" spans="2:8" hidden="1" outlineLevel="2" x14ac:dyDescent="0.25">
      <c r="B1444" s="1" t="s">
        <v>426</v>
      </c>
      <c r="C1444" s="191">
        <v>0</v>
      </c>
      <c r="E1444" s="211">
        <v>0</v>
      </c>
      <c r="F1444" s="211">
        <v>0</v>
      </c>
      <c r="G1444" s="212">
        <f>+E1444*C1444</f>
        <v>0</v>
      </c>
      <c r="H1444" s="212">
        <f>+F1444*C1444</f>
        <v>0</v>
      </c>
    </row>
    <row r="1445" spans="2:8" hidden="1" outlineLevel="2" x14ac:dyDescent="0.25">
      <c r="B1445" s="1" t="s">
        <v>427</v>
      </c>
      <c r="C1445" s="191">
        <v>1897.45</v>
      </c>
      <c r="E1445" s="211">
        <v>0</v>
      </c>
      <c r="F1445" s="211">
        <v>0</v>
      </c>
      <c r="G1445" s="212">
        <f>+E1445*C1445</f>
        <v>0</v>
      </c>
      <c r="H1445" s="212">
        <f>+F1445*C1445</f>
        <v>0</v>
      </c>
    </row>
    <row r="1446" spans="2:8" hidden="1" outlineLevel="1" collapsed="1" x14ac:dyDescent="0.25">
      <c r="B1446" s="207" t="s">
        <v>428</v>
      </c>
      <c r="C1446" s="208">
        <v>861.34</v>
      </c>
      <c r="E1446" s="209"/>
      <c r="F1446" s="209"/>
      <c r="G1446" s="210"/>
      <c r="H1446" s="210"/>
    </row>
    <row r="1447" spans="2:8" hidden="1" outlineLevel="2" x14ac:dyDescent="0.25">
      <c r="B1447" s="1" t="s">
        <v>429</v>
      </c>
      <c r="C1447" s="191">
        <v>861.34</v>
      </c>
      <c r="E1447" s="211">
        <v>0</v>
      </c>
      <c r="F1447" s="211">
        <v>0</v>
      </c>
      <c r="G1447" s="212">
        <f>+E1447*C1447</f>
        <v>0</v>
      </c>
      <c r="H1447" s="212">
        <f>+F1447*C1447</f>
        <v>0</v>
      </c>
    </row>
    <row r="1448" spans="2:8" hidden="1" outlineLevel="1" collapsed="1" x14ac:dyDescent="0.25">
      <c r="B1448" s="207" t="s">
        <v>323</v>
      </c>
      <c r="C1448" s="208">
        <v>24252.36</v>
      </c>
      <c r="E1448" s="209"/>
      <c r="F1448" s="209"/>
      <c r="G1448" s="210"/>
      <c r="H1448" s="210"/>
    </row>
    <row r="1449" spans="2:8" hidden="1" outlineLevel="2" x14ac:dyDescent="0.25">
      <c r="B1449" s="1" t="s">
        <v>272</v>
      </c>
      <c r="C1449" s="191">
        <v>9859.86</v>
      </c>
      <c r="E1449" s="211">
        <v>0</v>
      </c>
      <c r="F1449" s="211">
        <v>0</v>
      </c>
      <c r="G1449" s="212">
        <f>+E1449*C1449</f>
        <v>0</v>
      </c>
      <c r="H1449" s="212">
        <f>+F1449*C1449</f>
        <v>0</v>
      </c>
    </row>
    <row r="1450" spans="2:8" hidden="1" outlineLevel="2" x14ac:dyDescent="0.25">
      <c r="B1450" s="1" t="s">
        <v>324</v>
      </c>
      <c r="C1450" s="191">
        <v>14392.5</v>
      </c>
      <c r="E1450" s="211">
        <v>0</v>
      </c>
      <c r="F1450" s="211">
        <v>0</v>
      </c>
      <c r="G1450" s="212">
        <f>+E1450*C1450</f>
        <v>0</v>
      </c>
      <c r="H1450" s="212">
        <f>+F1450*C1450</f>
        <v>0</v>
      </c>
    </row>
    <row r="1451" spans="2:8" hidden="1" outlineLevel="1" collapsed="1" x14ac:dyDescent="0.25">
      <c r="B1451" s="207" t="s">
        <v>319</v>
      </c>
      <c r="C1451" s="208">
        <v>21640</v>
      </c>
      <c r="E1451" s="209"/>
      <c r="F1451" s="209"/>
      <c r="G1451" s="210"/>
      <c r="H1451" s="210"/>
    </row>
    <row r="1452" spans="2:8" hidden="1" outlineLevel="1" x14ac:dyDescent="0.25">
      <c r="B1452" s="1" t="s">
        <v>320</v>
      </c>
      <c r="C1452" s="191">
        <v>14290.2</v>
      </c>
      <c r="E1452" s="211">
        <v>0</v>
      </c>
      <c r="F1452" s="211">
        <v>0</v>
      </c>
      <c r="G1452" s="212">
        <f>+E1452*C1452</f>
        <v>0</v>
      </c>
      <c r="H1452" s="212">
        <f>+F1452*C1452</f>
        <v>0</v>
      </c>
    </row>
    <row r="1453" spans="2:8" hidden="1" outlineLevel="1" x14ac:dyDescent="0.25">
      <c r="B1453" s="1" t="s">
        <v>321</v>
      </c>
      <c r="C1453" s="191">
        <v>5509.8</v>
      </c>
      <c r="E1453" s="211">
        <v>0</v>
      </c>
      <c r="F1453" s="211">
        <v>0</v>
      </c>
      <c r="G1453" s="212">
        <f>+E1453*C1453</f>
        <v>0</v>
      </c>
      <c r="H1453" s="212">
        <f>+F1453*C1453</f>
        <v>0</v>
      </c>
    </row>
    <row r="1454" spans="2:8" hidden="1" outlineLevel="1" x14ac:dyDescent="0.25">
      <c r="B1454" s="1" t="s">
        <v>322</v>
      </c>
      <c r="C1454" s="191">
        <v>1840</v>
      </c>
      <c r="E1454" s="211">
        <v>0</v>
      </c>
      <c r="F1454" s="211">
        <v>0</v>
      </c>
      <c r="G1454" s="212">
        <f>+E1454*C1454</f>
        <v>0</v>
      </c>
      <c r="H1454" s="212">
        <f>+F1454*C1454</f>
        <v>0</v>
      </c>
    </row>
    <row r="1455" spans="2:8" collapsed="1" x14ac:dyDescent="0.25">
      <c r="B1455" s="192" t="s">
        <v>433</v>
      </c>
      <c r="C1455" s="193">
        <f>+C1456+C1458+C1461+C1488+C1503+C1505+C1531+C1543+C1558+C1566+C1569+C1572+C1591+C1596+C1603+C1618+C1620+C1623+C1630+C1635+C1653+C1679+C1682+C1691+C1698+C1702+C1706</f>
        <v>1720903.2199999995</v>
      </c>
      <c r="E1455" s="206">
        <f>+G1455/C1455</f>
        <v>0</v>
      </c>
      <c r="F1455" s="206">
        <f>+H1455/C1455</f>
        <v>5.5078140884645462E-3</v>
      </c>
      <c r="G1455" s="205">
        <f>+G1456+G1458+G1461</f>
        <v>0</v>
      </c>
      <c r="H1455" s="205">
        <f>+H1456+H1458+H1461</f>
        <v>9478.4149999999991</v>
      </c>
    </row>
    <row r="1456" spans="2:8" hidden="1" outlineLevel="1" x14ac:dyDescent="0.25">
      <c r="B1456" s="207" t="s">
        <v>104</v>
      </c>
      <c r="C1456" s="208">
        <v>2101.94</v>
      </c>
      <c r="E1456" s="209">
        <f>+G1456/C1456</f>
        <v>0</v>
      </c>
      <c r="F1456" s="209">
        <f>+H1456/C1456</f>
        <v>1</v>
      </c>
      <c r="G1456" s="210">
        <f>+G1457</f>
        <v>0</v>
      </c>
      <c r="H1456" s="210">
        <f>+H1457</f>
        <v>2101.94</v>
      </c>
    </row>
    <row r="1457" spans="2:8" hidden="1" outlineLevel="2" x14ac:dyDescent="0.25">
      <c r="B1457" s="1" t="s">
        <v>105</v>
      </c>
      <c r="C1457" s="191">
        <v>2101.94</v>
      </c>
      <c r="E1457" s="197">
        <v>0</v>
      </c>
      <c r="F1457" s="197">
        <v>1</v>
      </c>
      <c r="G1457" s="198">
        <f>+E1457*C1457</f>
        <v>0</v>
      </c>
      <c r="H1457" s="198">
        <f>+F1457*C1457</f>
        <v>2101.94</v>
      </c>
    </row>
    <row r="1458" spans="2:8" hidden="1" outlineLevel="1" x14ac:dyDescent="0.25">
      <c r="B1458" s="207" t="s">
        <v>106</v>
      </c>
      <c r="C1458" s="208">
        <v>3471.96</v>
      </c>
      <c r="E1458" s="209">
        <f>+G1458/C1458</f>
        <v>0</v>
      </c>
      <c r="F1458" s="209">
        <f>+H1458/C1458</f>
        <v>1</v>
      </c>
      <c r="G1458" s="210">
        <f>+G1459+G1460</f>
        <v>0</v>
      </c>
      <c r="H1458" s="210">
        <f>+H1459+H1460</f>
        <v>3471.96</v>
      </c>
    </row>
    <row r="1459" spans="2:8" hidden="1" outlineLevel="2" x14ac:dyDescent="0.25">
      <c r="B1459" s="1" t="s">
        <v>107</v>
      </c>
      <c r="C1459" s="191">
        <v>3471.96</v>
      </c>
      <c r="E1459" s="197">
        <v>0</v>
      </c>
      <c r="F1459" s="197">
        <v>1</v>
      </c>
      <c r="G1459" s="198">
        <f>+E1459*C1459</f>
        <v>0</v>
      </c>
      <c r="H1459" s="198">
        <f>+F1459*C1459</f>
        <v>3471.96</v>
      </c>
    </row>
    <row r="1460" spans="2:8" hidden="1" outlineLevel="2" x14ac:dyDescent="0.25">
      <c r="B1460" s="1" t="s">
        <v>108</v>
      </c>
      <c r="C1460" s="191">
        <v>0</v>
      </c>
      <c r="E1460" s="197">
        <v>0</v>
      </c>
      <c r="F1460" s="197">
        <v>1</v>
      </c>
      <c r="G1460" s="198">
        <f>+E1460*C1460</f>
        <v>0</v>
      </c>
      <c r="H1460" s="198">
        <f>+F1460*C1460</f>
        <v>0</v>
      </c>
    </row>
    <row r="1461" spans="2:8" hidden="1" outlineLevel="1" x14ac:dyDescent="0.25">
      <c r="B1461" s="207" t="s">
        <v>109</v>
      </c>
      <c r="C1461" s="208">
        <v>114357.79</v>
      </c>
      <c r="E1461" s="209">
        <f>+G1461/C1461</f>
        <v>0</v>
      </c>
      <c r="F1461" s="209">
        <f>+H1461/C1461</f>
        <v>3.4142973556939148E-2</v>
      </c>
      <c r="G1461" s="210">
        <f>SUM(G1462:G1487)</f>
        <v>0</v>
      </c>
      <c r="H1461" s="210">
        <f>SUM(H1462:H1487)</f>
        <v>3904.5149999999999</v>
      </c>
    </row>
    <row r="1462" spans="2:8" hidden="1" outlineLevel="2" x14ac:dyDescent="0.25">
      <c r="B1462" s="1" t="s">
        <v>110</v>
      </c>
      <c r="C1462" s="191">
        <v>7809.03</v>
      </c>
      <c r="E1462" s="197">
        <v>0</v>
      </c>
      <c r="F1462" s="197">
        <v>0.5</v>
      </c>
      <c r="G1462" s="198">
        <f>+E1462*C1462</f>
        <v>0</v>
      </c>
      <c r="H1462" s="198">
        <f>+F1462*C1462</f>
        <v>3904.5149999999999</v>
      </c>
    </row>
    <row r="1463" spans="2:8" hidden="1" outlineLevel="2" x14ac:dyDescent="0.25">
      <c r="B1463" s="1" t="s">
        <v>111</v>
      </c>
      <c r="C1463" s="191">
        <v>5045.08</v>
      </c>
      <c r="E1463" s="197">
        <v>0</v>
      </c>
      <c r="F1463" s="197">
        <v>0</v>
      </c>
      <c r="G1463" s="198">
        <f>+E1463*C1463</f>
        <v>0</v>
      </c>
      <c r="H1463" s="198">
        <f>+F1463*C1463</f>
        <v>0</v>
      </c>
    </row>
    <row r="1464" spans="2:8" hidden="1" outlineLevel="2" x14ac:dyDescent="0.25">
      <c r="B1464" s="1" t="s">
        <v>112</v>
      </c>
      <c r="C1464" s="191">
        <v>2143.3200000000002</v>
      </c>
      <c r="E1464" s="211">
        <v>0</v>
      </c>
      <c r="F1464" s="211">
        <v>0</v>
      </c>
      <c r="G1464" s="212">
        <f>+E1464*C1464</f>
        <v>0</v>
      </c>
      <c r="H1464" s="212">
        <f>+F1464*C1464</f>
        <v>0</v>
      </c>
    </row>
    <row r="1465" spans="2:8" hidden="1" outlineLevel="2" x14ac:dyDescent="0.25">
      <c r="B1465" s="1" t="s">
        <v>113</v>
      </c>
      <c r="C1465" s="191">
        <v>2764.5</v>
      </c>
      <c r="E1465" s="211">
        <v>0</v>
      </c>
      <c r="F1465" s="211">
        <v>0</v>
      </c>
      <c r="G1465" s="212">
        <f>+E1465*C1465</f>
        <v>0</v>
      </c>
      <c r="H1465" s="212">
        <f>+F1465*C1465</f>
        <v>0</v>
      </c>
    </row>
    <row r="1466" spans="2:8" hidden="1" outlineLevel="2" x14ac:dyDescent="0.25">
      <c r="B1466" s="1" t="s">
        <v>114</v>
      </c>
      <c r="C1466" s="191">
        <v>1573.13</v>
      </c>
      <c r="E1466" s="211">
        <v>0</v>
      </c>
      <c r="F1466" s="211">
        <v>0</v>
      </c>
      <c r="G1466" s="212">
        <f>+E1466*C1466</f>
        <v>0</v>
      </c>
      <c r="H1466" s="212">
        <f>+F1466*C1466</f>
        <v>0</v>
      </c>
    </row>
    <row r="1467" spans="2:8" hidden="1" outlineLevel="2" x14ac:dyDescent="0.25">
      <c r="B1467" s="1" t="s">
        <v>115</v>
      </c>
      <c r="C1467" s="191">
        <v>549.67999999999995</v>
      </c>
      <c r="E1467" s="211">
        <v>0</v>
      </c>
      <c r="F1467" s="211">
        <v>0</v>
      </c>
      <c r="G1467" s="212">
        <f>+E1467*C1467</f>
        <v>0</v>
      </c>
      <c r="H1467" s="212">
        <f>+F1467*C1467</f>
        <v>0</v>
      </c>
    </row>
    <row r="1468" spans="2:8" hidden="1" outlineLevel="2" x14ac:dyDescent="0.25">
      <c r="B1468" s="1" t="s">
        <v>116</v>
      </c>
      <c r="C1468" s="191">
        <v>1205.1199999999999</v>
      </c>
      <c r="E1468" s="211">
        <v>0</v>
      </c>
      <c r="F1468" s="211">
        <v>0</v>
      </c>
      <c r="G1468" s="212">
        <f>+E1468*C1468</f>
        <v>0</v>
      </c>
      <c r="H1468" s="212">
        <f>+F1468*C1468</f>
        <v>0</v>
      </c>
    </row>
    <row r="1469" spans="2:8" hidden="1" outlineLevel="2" x14ac:dyDescent="0.25">
      <c r="B1469" s="1" t="s">
        <v>117</v>
      </c>
      <c r="C1469" s="191">
        <v>903.84</v>
      </c>
      <c r="E1469" s="211">
        <v>0</v>
      </c>
      <c r="F1469" s="211">
        <v>0</v>
      </c>
      <c r="G1469" s="212">
        <f>+E1469*C1469</f>
        <v>0</v>
      </c>
      <c r="H1469" s="212">
        <f>+F1469*C1469</f>
        <v>0</v>
      </c>
    </row>
    <row r="1470" spans="2:8" hidden="1" outlineLevel="2" x14ac:dyDescent="0.25">
      <c r="B1470" s="1" t="s">
        <v>118</v>
      </c>
      <c r="C1470" s="191">
        <v>1475.2</v>
      </c>
      <c r="E1470" s="211">
        <v>0</v>
      </c>
      <c r="F1470" s="211">
        <v>0</v>
      </c>
      <c r="G1470" s="212">
        <f>+E1470*C1470</f>
        <v>0</v>
      </c>
      <c r="H1470" s="212">
        <f>+F1470*C1470</f>
        <v>0</v>
      </c>
    </row>
    <row r="1471" spans="2:8" hidden="1" outlineLevel="2" x14ac:dyDescent="0.25">
      <c r="B1471" s="1" t="s">
        <v>119</v>
      </c>
      <c r="C1471" s="191">
        <v>2857.22</v>
      </c>
      <c r="E1471" s="211">
        <v>0</v>
      </c>
      <c r="F1471" s="211">
        <v>0</v>
      </c>
      <c r="G1471" s="212">
        <f>+E1471*C1471</f>
        <v>0</v>
      </c>
      <c r="H1471" s="212">
        <f>+F1471*C1471</f>
        <v>0</v>
      </c>
    </row>
    <row r="1472" spans="2:8" hidden="1" outlineLevel="2" x14ac:dyDescent="0.25">
      <c r="B1472" s="1" t="s">
        <v>120</v>
      </c>
      <c r="C1472" s="191">
        <v>2531.7399999999998</v>
      </c>
      <c r="E1472" s="211">
        <v>0</v>
      </c>
      <c r="F1472" s="211">
        <v>0</v>
      </c>
      <c r="G1472" s="212">
        <f>+E1472*C1472</f>
        <v>0</v>
      </c>
      <c r="H1472" s="212">
        <f>+F1472*C1472</f>
        <v>0</v>
      </c>
    </row>
    <row r="1473" spans="2:8" hidden="1" outlineLevel="2" x14ac:dyDescent="0.25">
      <c r="B1473" s="1" t="s">
        <v>121</v>
      </c>
      <c r="C1473" s="191">
        <v>574.99</v>
      </c>
      <c r="E1473" s="211">
        <v>0</v>
      </c>
      <c r="F1473" s="211">
        <v>0</v>
      </c>
      <c r="G1473" s="212">
        <f>+E1473*C1473</f>
        <v>0</v>
      </c>
      <c r="H1473" s="212">
        <f>+F1473*C1473</f>
        <v>0</v>
      </c>
    </row>
    <row r="1474" spans="2:8" hidden="1" outlineLevel="2" x14ac:dyDescent="0.25">
      <c r="B1474" s="1" t="s">
        <v>122</v>
      </c>
      <c r="C1474" s="191">
        <v>3105.23</v>
      </c>
      <c r="E1474" s="211">
        <v>0</v>
      </c>
      <c r="F1474" s="211">
        <v>0</v>
      </c>
      <c r="G1474" s="212">
        <f>+E1474*C1474</f>
        <v>0</v>
      </c>
      <c r="H1474" s="212">
        <f>+F1474*C1474</f>
        <v>0</v>
      </c>
    </row>
    <row r="1475" spans="2:8" hidden="1" outlineLevel="2" x14ac:dyDescent="0.25">
      <c r="B1475" s="1" t="s">
        <v>123</v>
      </c>
      <c r="C1475" s="191">
        <v>350.55</v>
      </c>
      <c r="E1475" s="211">
        <v>0</v>
      </c>
      <c r="F1475" s="211">
        <v>0</v>
      </c>
      <c r="G1475" s="212">
        <f>+E1475*C1475</f>
        <v>0</v>
      </c>
      <c r="H1475" s="212">
        <f>+F1475*C1475</f>
        <v>0</v>
      </c>
    </row>
    <row r="1476" spans="2:8" hidden="1" outlineLevel="2" x14ac:dyDescent="0.25">
      <c r="B1476" s="1" t="s">
        <v>124</v>
      </c>
      <c r="C1476" s="191">
        <v>574.99</v>
      </c>
      <c r="E1476" s="211">
        <v>0</v>
      </c>
      <c r="F1476" s="211">
        <v>0</v>
      </c>
      <c r="G1476" s="212">
        <f>+E1476*C1476</f>
        <v>0</v>
      </c>
      <c r="H1476" s="212">
        <f>+F1476*C1476</f>
        <v>0</v>
      </c>
    </row>
    <row r="1477" spans="2:8" hidden="1" outlineLevel="2" x14ac:dyDescent="0.25">
      <c r="B1477" s="1" t="s">
        <v>125</v>
      </c>
      <c r="C1477" s="191">
        <v>11705.73</v>
      </c>
      <c r="E1477" s="211">
        <v>0</v>
      </c>
      <c r="F1477" s="211">
        <v>0</v>
      </c>
      <c r="G1477" s="212">
        <f>+E1477*C1477</f>
        <v>0</v>
      </c>
      <c r="H1477" s="212">
        <f>+F1477*C1477</f>
        <v>0</v>
      </c>
    </row>
    <row r="1478" spans="2:8" hidden="1" outlineLevel="2" x14ac:dyDescent="0.25">
      <c r="B1478" s="1" t="s">
        <v>126</v>
      </c>
      <c r="C1478" s="191">
        <v>6523.48</v>
      </c>
      <c r="E1478" s="211">
        <v>0</v>
      </c>
      <c r="F1478" s="211">
        <v>0</v>
      </c>
      <c r="G1478" s="212">
        <f>+E1478*C1478</f>
        <v>0</v>
      </c>
      <c r="H1478" s="212">
        <f>+F1478*C1478</f>
        <v>0</v>
      </c>
    </row>
    <row r="1479" spans="2:8" hidden="1" outlineLevel="2" x14ac:dyDescent="0.25">
      <c r="B1479" s="1" t="s">
        <v>127</v>
      </c>
      <c r="C1479" s="191">
        <v>3303.29</v>
      </c>
      <c r="E1479" s="211">
        <v>0</v>
      </c>
      <c r="F1479" s="211">
        <v>0</v>
      </c>
      <c r="G1479" s="212">
        <f>+E1479*C1479</f>
        <v>0</v>
      </c>
      <c r="H1479" s="212">
        <f>+F1479*C1479</f>
        <v>0</v>
      </c>
    </row>
    <row r="1480" spans="2:8" hidden="1" outlineLevel="2" x14ac:dyDescent="0.25">
      <c r="B1480" s="1" t="s">
        <v>128</v>
      </c>
      <c r="C1480" s="191">
        <v>5638.16</v>
      </c>
      <c r="E1480" s="211">
        <v>0</v>
      </c>
      <c r="F1480" s="211">
        <v>0</v>
      </c>
      <c r="G1480" s="212">
        <f>+E1480*C1480</f>
        <v>0</v>
      </c>
      <c r="H1480" s="212">
        <f>+F1480*C1480</f>
        <v>0</v>
      </c>
    </row>
    <row r="1481" spans="2:8" hidden="1" outlineLevel="2" x14ac:dyDescent="0.25">
      <c r="B1481" s="1" t="s">
        <v>129</v>
      </c>
      <c r="C1481" s="191">
        <v>6583.86</v>
      </c>
      <c r="E1481" s="211">
        <v>0</v>
      </c>
      <c r="F1481" s="211">
        <v>0</v>
      </c>
      <c r="G1481" s="212">
        <f>+E1481*C1481</f>
        <v>0</v>
      </c>
      <c r="H1481" s="212">
        <f>+F1481*C1481</f>
        <v>0</v>
      </c>
    </row>
    <row r="1482" spans="2:8" hidden="1" outlineLevel="2" x14ac:dyDescent="0.25">
      <c r="B1482" s="1" t="s">
        <v>130</v>
      </c>
      <c r="C1482" s="191">
        <v>30432.38</v>
      </c>
      <c r="E1482" s="211">
        <v>0</v>
      </c>
      <c r="F1482" s="211">
        <v>0</v>
      </c>
      <c r="G1482" s="212">
        <f>+E1482*C1482</f>
        <v>0</v>
      </c>
      <c r="H1482" s="212">
        <f>+F1482*C1482</f>
        <v>0</v>
      </c>
    </row>
    <row r="1483" spans="2:8" hidden="1" outlineLevel="2" x14ac:dyDescent="0.25">
      <c r="B1483" s="1" t="s">
        <v>131</v>
      </c>
      <c r="C1483" s="191">
        <v>1632.22</v>
      </c>
      <c r="E1483" s="211">
        <v>0</v>
      </c>
      <c r="F1483" s="211">
        <v>0</v>
      </c>
      <c r="G1483" s="212">
        <f>+E1483*C1483</f>
        <v>0</v>
      </c>
      <c r="H1483" s="212">
        <f>+F1483*C1483</f>
        <v>0</v>
      </c>
    </row>
    <row r="1484" spans="2:8" hidden="1" outlineLevel="2" x14ac:dyDescent="0.25">
      <c r="B1484" s="1" t="s">
        <v>132</v>
      </c>
      <c r="C1484" s="191">
        <v>2325.48</v>
      </c>
      <c r="E1484" s="211">
        <v>0</v>
      </c>
      <c r="F1484" s="211">
        <v>0</v>
      </c>
      <c r="G1484" s="212">
        <f>+E1484*C1484</f>
        <v>0</v>
      </c>
      <c r="H1484" s="212">
        <f>+F1484*C1484</f>
        <v>0</v>
      </c>
    </row>
    <row r="1485" spans="2:8" hidden="1" outlineLevel="2" x14ac:dyDescent="0.25">
      <c r="B1485" s="1" t="s">
        <v>133</v>
      </c>
      <c r="C1485" s="191">
        <v>7596</v>
      </c>
      <c r="E1485" s="211">
        <v>0</v>
      </c>
      <c r="F1485" s="211">
        <v>0</v>
      </c>
      <c r="G1485" s="212">
        <f>+E1485*C1485</f>
        <v>0</v>
      </c>
      <c r="H1485" s="212">
        <f>+F1485*C1485</f>
        <v>0</v>
      </c>
    </row>
    <row r="1486" spans="2:8" hidden="1" outlineLevel="2" x14ac:dyDescent="0.25">
      <c r="B1486" s="1" t="s">
        <v>134</v>
      </c>
      <c r="C1486" s="191">
        <v>2148.17</v>
      </c>
      <c r="E1486" s="211">
        <v>0</v>
      </c>
      <c r="F1486" s="211">
        <v>0</v>
      </c>
      <c r="G1486" s="212">
        <f>+E1486*C1486</f>
        <v>0</v>
      </c>
      <c r="H1486" s="212">
        <f>+F1486*C1486</f>
        <v>0</v>
      </c>
    </row>
    <row r="1487" spans="2:8" hidden="1" outlineLevel="2" x14ac:dyDescent="0.25">
      <c r="B1487" s="1" t="s">
        <v>135</v>
      </c>
      <c r="C1487" s="191">
        <v>3005.4</v>
      </c>
      <c r="E1487" s="211">
        <v>0</v>
      </c>
      <c r="F1487" s="211">
        <v>0</v>
      </c>
      <c r="G1487" s="212">
        <f>+E1487*C1487</f>
        <v>0</v>
      </c>
      <c r="H1487" s="212">
        <f>+F1487*C1487</f>
        <v>0</v>
      </c>
    </row>
    <row r="1488" spans="2:8" hidden="1" outlineLevel="1" x14ac:dyDescent="0.25">
      <c r="B1488" s="207" t="s">
        <v>136</v>
      </c>
      <c r="C1488" s="208">
        <v>142526.66</v>
      </c>
      <c r="E1488" s="209"/>
      <c r="F1488" s="209"/>
      <c r="G1488" s="210"/>
      <c r="H1488" s="210"/>
    </row>
    <row r="1489" spans="2:8" hidden="1" outlineLevel="2" x14ac:dyDescent="0.25">
      <c r="B1489" s="1" t="s">
        <v>137</v>
      </c>
      <c r="C1489" s="191">
        <v>0</v>
      </c>
      <c r="E1489" s="211">
        <v>0</v>
      </c>
      <c r="F1489" s="211">
        <v>0</v>
      </c>
      <c r="G1489" s="212">
        <f>+E1489*C1489</f>
        <v>0</v>
      </c>
      <c r="H1489" s="212">
        <f>+F1489*C1489</f>
        <v>0</v>
      </c>
    </row>
    <row r="1490" spans="2:8" hidden="1" outlineLevel="2" x14ac:dyDescent="0.25">
      <c r="B1490" s="1" t="s">
        <v>138</v>
      </c>
      <c r="C1490" s="191">
        <v>0</v>
      </c>
      <c r="E1490" s="211">
        <v>0</v>
      </c>
      <c r="F1490" s="211">
        <v>0</v>
      </c>
      <c r="G1490" s="212">
        <f>+E1490*C1490</f>
        <v>0</v>
      </c>
      <c r="H1490" s="212">
        <f>+F1490*C1490</f>
        <v>0</v>
      </c>
    </row>
    <row r="1491" spans="2:8" hidden="1" outlineLevel="2" x14ac:dyDescent="0.25">
      <c r="B1491" s="1" t="s">
        <v>139</v>
      </c>
      <c r="C1491" s="191">
        <v>6659.71</v>
      </c>
      <c r="E1491" s="211">
        <v>0</v>
      </c>
      <c r="F1491" s="211">
        <v>0</v>
      </c>
      <c r="G1491" s="212">
        <f>+E1491*C1491</f>
        <v>0</v>
      </c>
      <c r="H1491" s="212">
        <f>+F1491*C1491</f>
        <v>0</v>
      </c>
    </row>
    <row r="1492" spans="2:8" hidden="1" outlineLevel="2" x14ac:dyDescent="0.25">
      <c r="B1492" s="1" t="s">
        <v>140</v>
      </c>
      <c r="C1492" s="191">
        <v>1630.51</v>
      </c>
      <c r="E1492" s="211">
        <v>0</v>
      </c>
      <c r="F1492" s="211">
        <v>0</v>
      </c>
      <c r="G1492" s="212">
        <f>+E1492*C1492</f>
        <v>0</v>
      </c>
      <c r="H1492" s="212">
        <f>+F1492*C1492</f>
        <v>0</v>
      </c>
    </row>
    <row r="1493" spans="2:8" hidden="1" outlineLevel="2" x14ac:dyDescent="0.25">
      <c r="B1493" s="1" t="s">
        <v>141</v>
      </c>
      <c r="C1493" s="191">
        <v>28258.41</v>
      </c>
      <c r="E1493" s="211">
        <v>0</v>
      </c>
      <c r="F1493" s="211">
        <v>0</v>
      </c>
      <c r="G1493" s="212">
        <f>+E1493*C1493</f>
        <v>0</v>
      </c>
      <c r="H1493" s="212">
        <f>+F1493*C1493</f>
        <v>0</v>
      </c>
    </row>
    <row r="1494" spans="2:8" hidden="1" outlineLevel="2" x14ac:dyDescent="0.25">
      <c r="B1494" s="1" t="s">
        <v>142</v>
      </c>
      <c r="C1494" s="191">
        <v>6623.16</v>
      </c>
      <c r="E1494" s="211">
        <v>0</v>
      </c>
      <c r="F1494" s="211">
        <v>0</v>
      </c>
      <c r="G1494" s="212">
        <f>+E1494*C1494</f>
        <v>0</v>
      </c>
      <c r="H1494" s="212">
        <f>+F1494*C1494</f>
        <v>0</v>
      </c>
    </row>
    <row r="1495" spans="2:8" hidden="1" outlineLevel="2" x14ac:dyDescent="0.25">
      <c r="B1495" s="1" t="s">
        <v>143</v>
      </c>
      <c r="C1495" s="191">
        <v>8627.4</v>
      </c>
      <c r="E1495" s="211">
        <v>0</v>
      </c>
      <c r="F1495" s="211">
        <v>0</v>
      </c>
      <c r="G1495" s="212">
        <f>+E1495*C1495</f>
        <v>0</v>
      </c>
      <c r="H1495" s="212">
        <f>+F1495*C1495</f>
        <v>0</v>
      </c>
    </row>
    <row r="1496" spans="2:8" hidden="1" outlineLevel="2" x14ac:dyDescent="0.25">
      <c r="B1496" s="1" t="s">
        <v>144</v>
      </c>
      <c r="C1496" s="191">
        <v>4759.74</v>
      </c>
      <c r="E1496" s="211">
        <v>0</v>
      </c>
      <c r="F1496" s="211">
        <v>0</v>
      </c>
      <c r="G1496" s="212">
        <f>+E1496*C1496</f>
        <v>0</v>
      </c>
      <c r="H1496" s="212">
        <f>+F1496*C1496</f>
        <v>0</v>
      </c>
    </row>
    <row r="1497" spans="2:8" hidden="1" outlineLevel="2" x14ac:dyDescent="0.25">
      <c r="B1497" s="1" t="s">
        <v>145</v>
      </c>
      <c r="C1497" s="191">
        <v>1930.42</v>
      </c>
      <c r="E1497" s="211">
        <v>0</v>
      </c>
      <c r="F1497" s="211">
        <v>0</v>
      </c>
      <c r="G1497" s="212">
        <f>+E1497*C1497</f>
        <v>0</v>
      </c>
      <c r="H1497" s="212">
        <f>+F1497*C1497</f>
        <v>0</v>
      </c>
    </row>
    <row r="1498" spans="2:8" hidden="1" outlineLevel="2" x14ac:dyDescent="0.25">
      <c r="B1498" s="1" t="s">
        <v>146</v>
      </c>
      <c r="C1498" s="191">
        <v>15378.5</v>
      </c>
      <c r="E1498" s="211">
        <v>0</v>
      </c>
      <c r="F1498" s="211">
        <v>0</v>
      </c>
      <c r="G1498" s="212">
        <f>+E1498*C1498</f>
        <v>0</v>
      </c>
      <c r="H1498" s="212">
        <f>+F1498*C1498</f>
        <v>0</v>
      </c>
    </row>
    <row r="1499" spans="2:8" hidden="1" outlineLevel="2" x14ac:dyDescent="0.25">
      <c r="B1499" s="1" t="s">
        <v>147</v>
      </c>
      <c r="C1499" s="191">
        <v>0</v>
      </c>
      <c r="E1499" s="211">
        <v>0</v>
      </c>
      <c r="F1499" s="211">
        <v>0</v>
      </c>
      <c r="G1499" s="212">
        <f>+E1499*C1499</f>
        <v>0</v>
      </c>
      <c r="H1499" s="212">
        <f>+F1499*C1499</f>
        <v>0</v>
      </c>
    </row>
    <row r="1500" spans="2:8" hidden="1" outlineLevel="2" x14ac:dyDescent="0.25">
      <c r="B1500" s="1" t="s">
        <v>148</v>
      </c>
      <c r="C1500" s="191">
        <v>12036.42</v>
      </c>
      <c r="E1500" s="211">
        <v>0</v>
      </c>
      <c r="F1500" s="211">
        <v>0</v>
      </c>
      <c r="G1500" s="212">
        <f>+E1500*C1500</f>
        <v>0</v>
      </c>
      <c r="H1500" s="212">
        <f>+F1500*C1500</f>
        <v>0</v>
      </c>
    </row>
    <row r="1501" spans="2:8" hidden="1" outlineLevel="2" x14ac:dyDescent="0.25">
      <c r="B1501" s="1" t="s">
        <v>149</v>
      </c>
      <c r="C1501" s="191">
        <v>43281.54</v>
      </c>
      <c r="E1501" s="211">
        <v>0</v>
      </c>
      <c r="F1501" s="211">
        <v>0</v>
      </c>
      <c r="G1501" s="212">
        <f>+E1501*C1501</f>
        <v>0</v>
      </c>
      <c r="H1501" s="212">
        <f>+F1501*C1501</f>
        <v>0</v>
      </c>
    </row>
    <row r="1502" spans="2:8" hidden="1" outlineLevel="2" x14ac:dyDescent="0.25">
      <c r="B1502" s="1" t="s">
        <v>150</v>
      </c>
      <c r="C1502" s="191">
        <v>13340.85</v>
      </c>
      <c r="E1502" s="211">
        <v>0</v>
      </c>
      <c r="F1502" s="211">
        <v>0</v>
      </c>
      <c r="G1502" s="212">
        <f>+E1502*C1502</f>
        <v>0</v>
      </c>
      <c r="H1502" s="212">
        <f>+F1502*C1502</f>
        <v>0</v>
      </c>
    </row>
    <row r="1503" spans="2:8" hidden="1" outlineLevel="1" collapsed="1" x14ac:dyDescent="0.25">
      <c r="B1503" s="207" t="s">
        <v>151</v>
      </c>
      <c r="C1503" s="208">
        <v>19320.240000000002</v>
      </c>
      <c r="E1503" s="209"/>
      <c r="F1503" s="209"/>
      <c r="G1503" s="210"/>
      <c r="H1503" s="210"/>
    </row>
    <row r="1504" spans="2:8" hidden="1" outlineLevel="2" x14ac:dyDescent="0.25">
      <c r="B1504" s="1" t="s">
        <v>152</v>
      </c>
      <c r="C1504" s="191">
        <v>19320.240000000002</v>
      </c>
      <c r="E1504" s="211">
        <v>0</v>
      </c>
      <c r="F1504" s="211">
        <v>0</v>
      </c>
      <c r="G1504" s="212">
        <f>+E1504*C1504</f>
        <v>0</v>
      </c>
      <c r="H1504" s="212">
        <f>+F1504*C1504</f>
        <v>0</v>
      </c>
    </row>
    <row r="1505" spans="2:8" hidden="1" outlineLevel="1" collapsed="1" x14ac:dyDescent="0.25">
      <c r="B1505" s="207" t="s">
        <v>153</v>
      </c>
      <c r="C1505" s="208">
        <v>118803.13</v>
      </c>
      <c r="E1505" s="209"/>
      <c r="F1505" s="209"/>
      <c r="G1505" s="210"/>
      <c r="H1505" s="210"/>
    </row>
    <row r="1506" spans="2:8" hidden="1" outlineLevel="2" x14ac:dyDescent="0.25">
      <c r="B1506" s="1" t="s">
        <v>154</v>
      </c>
      <c r="C1506" s="191">
        <v>706.06</v>
      </c>
      <c r="E1506" s="211">
        <v>0</v>
      </c>
      <c r="F1506" s="211">
        <v>0</v>
      </c>
      <c r="G1506" s="212">
        <f>+E1506*C1506</f>
        <v>0</v>
      </c>
      <c r="H1506" s="212">
        <f>+F1506*C1506</f>
        <v>0</v>
      </c>
    </row>
    <row r="1507" spans="2:8" hidden="1" outlineLevel="2" x14ac:dyDescent="0.25">
      <c r="B1507" s="1" t="s">
        <v>155</v>
      </c>
      <c r="C1507" s="191">
        <v>2255.35</v>
      </c>
      <c r="E1507" s="211">
        <v>0</v>
      </c>
      <c r="F1507" s="211">
        <v>0</v>
      </c>
      <c r="G1507" s="212">
        <f>+E1507*C1507</f>
        <v>0</v>
      </c>
      <c r="H1507" s="212">
        <f>+F1507*C1507</f>
        <v>0</v>
      </c>
    </row>
    <row r="1508" spans="2:8" hidden="1" outlineLevel="2" x14ac:dyDescent="0.25">
      <c r="B1508" s="1" t="s">
        <v>156</v>
      </c>
      <c r="C1508" s="191">
        <v>3503.1</v>
      </c>
      <c r="E1508" s="211">
        <v>0</v>
      </c>
      <c r="F1508" s="211">
        <v>0</v>
      </c>
      <c r="G1508" s="212">
        <f>+E1508*C1508</f>
        <v>0</v>
      </c>
      <c r="H1508" s="212">
        <f>+F1508*C1508</f>
        <v>0</v>
      </c>
    </row>
    <row r="1509" spans="2:8" hidden="1" outlineLevel="2" x14ac:dyDescent="0.25">
      <c r="B1509" s="1" t="s">
        <v>157</v>
      </c>
      <c r="C1509" s="191">
        <v>2909.44</v>
      </c>
      <c r="E1509" s="211">
        <v>0</v>
      </c>
      <c r="F1509" s="211">
        <v>0</v>
      </c>
      <c r="G1509" s="212">
        <f>+E1509*C1509</f>
        <v>0</v>
      </c>
      <c r="H1509" s="212">
        <f>+F1509*C1509</f>
        <v>0</v>
      </c>
    </row>
    <row r="1510" spans="2:8" hidden="1" outlineLevel="2" x14ac:dyDescent="0.25">
      <c r="B1510" s="1" t="s">
        <v>158</v>
      </c>
      <c r="C1510" s="191">
        <v>2315.7600000000002</v>
      </c>
      <c r="E1510" s="211">
        <v>0</v>
      </c>
      <c r="F1510" s="211">
        <v>0</v>
      </c>
      <c r="G1510" s="212">
        <f>+E1510*C1510</f>
        <v>0</v>
      </c>
      <c r="H1510" s="212">
        <f>+F1510*C1510</f>
        <v>0</v>
      </c>
    </row>
    <row r="1511" spans="2:8" hidden="1" outlineLevel="2" x14ac:dyDescent="0.25">
      <c r="B1511" s="1" t="s">
        <v>159</v>
      </c>
      <c r="C1511" s="191">
        <v>7986.5</v>
      </c>
      <c r="E1511" s="211">
        <v>0</v>
      </c>
      <c r="F1511" s="211">
        <v>0</v>
      </c>
      <c r="G1511" s="212">
        <f>+E1511*C1511</f>
        <v>0</v>
      </c>
      <c r="H1511" s="212">
        <f>+F1511*C1511</f>
        <v>0</v>
      </c>
    </row>
    <row r="1512" spans="2:8" hidden="1" outlineLevel="2" x14ac:dyDescent="0.25">
      <c r="B1512" s="1" t="s">
        <v>160</v>
      </c>
      <c r="C1512" s="191">
        <v>12681.12</v>
      </c>
      <c r="E1512" s="211">
        <v>0</v>
      </c>
      <c r="F1512" s="211">
        <v>0</v>
      </c>
      <c r="G1512" s="212">
        <f>+E1512*C1512</f>
        <v>0</v>
      </c>
      <c r="H1512" s="212">
        <f>+F1512*C1512</f>
        <v>0</v>
      </c>
    </row>
    <row r="1513" spans="2:8" hidden="1" outlineLevel="2" x14ac:dyDescent="0.25">
      <c r="B1513" s="1" t="s">
        <v>161</v>
      </c>
      <c r="C1513" s="191">
        <v>2427.91</v>
      </c>
      <c r="E1513" s="211">
        <v>0</v>
      </c>
      <c r="F1513" s="211">
        <v>0</v>
      </c>
      <c r="G1513" s="212">
        <f>+E1513*C1513</f>
        <v>0</v>
      </c>
      <c r="H1513" s="212">
        <f>+F1513*C1513</f>
        <v>0</v>
      </c>
    </row>
    <row r="1514" spans="2:8" hidden="1" outlineLevel="2" x14ac:dyDescent="0.25">
      <c r="B1514" s="1" t="s">
        <v>162</v>
      </c>
      <c r="C1514" s="191">
        <v>4151.0200000000004</v>
      </c>
      <c r="E1514" s="211">
        <v>0</v>
      </c>
      <c r="F1514" s="211">
        <v>0</v>
      </c>
      <c r="G1514" s="212">
        <f>+E1514*C1514</f>
        <v>0</v>
      </c>
      <c r="H1514" s="212">
        <f>+F1514*C1514</f>
        <v>0</v>
      </c>
    </row>
    <row r="1515" spans="2:8" hidden="1" outlineLevel="2" x14ac:dyDescent="0.25">
      <c r="B1515" s="1" t="s">
        <v>163</v>
      </c>
      <c r="C1515" s="191">
        <v>1305.8399999999999</v>
      </c>
      <c r="E1515" s="211">
        <v>0</v>
      </c>
      <c r="F1515" s="211">
        <v>0</v>
      </c>
      <c r="G1515" s="212">
        <f>+E1515*C1515</f>
        <v>0</v>
      </c>
      <c r="H1515" s="212">
        <f>+F1515*C1515</f>
        <v>0</v>
      </c>
    </row>
    <row r="1516" spans="2:8" hidden="1" outlineLevel="2" x14ac:dyDescent="0.25">
      <c r="B1516" s="1" t="s">
        <v>164</v>
      </c>
      <c r="C1516" s="191">
        <v>4403.43</v>
      </c>
      <c r="E1516" s="211">
        <v>0</v>
      </c>
      <c r="F1516" s="211">
        <v>0</v>
      </c>
      <c r="G1516" s="212">
        <f>+E1516*C1516</f>
        <v>0</v>
      </c>
      <c r="H1516" s="212">
        <f>+F1516*C1516</f>
        <v>0</v>
      </c>
    </row>
    <row r="1517" spans="2:8" hidden="1" outlineLevel="2" x14ac:dyDescent="0.25">
      <c r="B1517" s="1" t="s">
        <v>165</v>
      </c>
      <c r="C1517" s="191">
        <v>3285.06</v>
      </c>
      <c r="E1517" s="211">
        <v>0</v>
      </c>
      <c r="F1517" s="211">
        <v>0</v>
      </c>
      <c r="G1517" s="212">
        <f>+E1517*C1517</f>
        <v>0</v>
      </c>
      <c r="H1517" s="212">
        <f>+F1517*C1517</f>
        <v>0</v>
      </c>
    </row>
    <row r="1518" spans="2:8" hidden="1" outlineLevel="2" x14ac:dyDescent="0.25">
      <c r="B1518" s="1" t="s">
        <v>166</v>
      </c>
      <c r="C1518" s="191">
        <v>22457.19</v>
      </c>
      <c r="E1518" s="211">
        <v>0</v>
      </c>
      <c r="F1518" s="211">
        <v>0</v>
      </c>
      <c r="G1518" s="212">
        <f>+E1518*C1518</f>
        <v>0</v>
      </c>
      <c r="H1518" s="212">
        <f>+F1518*C1518</f>
        <v>0</v>
      </c>
    </row>
    <row r="1519" spans="2:8" hidden="1" outlineLevel="2" x14ac:dyDescent="0.25">
      <c r="B1519" s="1" t="s">
        <v>167</v>
      </c>
      <c r="C1519" s="191">
        <v>24413.52</v>
      </c>
      <c r="E1519" s="211">
        <v>0</v>
      </c>
      <c r="F1519" s="211">
        <v>0</v>
      </c>
      <c r="G1519" s="212">
        <f>+E1519*C1519</f>
        <v>0</v>
      </c>
      <c r="H1519" s="212">
        <f>+F1519*C1519</f>
        <v>0</v>
      </c>
    </row>
    <row r="1520" spans="2:8" hidden="1" outlineLevel="2" x14ac:dyDescent="0.25">
      <c r="B1520" s="1" t="s">
        <v>131</v>
      </c>
      <c r="C1520" s="191">
        <v>1977</v>
      </c>
      <c r="E1520" s="211">
        <v>0</v>
      </c>
      <c r="F1520" s="211">
        <v>0</v>
      </c>
      <c r="G1520" s="212">
        <f>+E1520*C1520</f>
        <v>0</v>
      </c>
      <c r="H1520" s="212">
        <f>+F1520*C1520</f>
        <v>0</v>
      </c>
    </row>
    <row r="1521" spans="2:8" hidden="1" outlineLevel="2" x14ac:dyDescent="0.25">
      <c r="B1521" s="1" t="s">
        <v>168</v>
      </c>
      <c r="C1521" s="191">
        <v>6758.73</v>
      </c>
      <c r="E1521" s="211">
        <v>0</v>
      </c>
      <c r="F1521" s="211">
        <v>0</v>
      </c>
      <c r="G1521" s="212">
        <f>+E1521*C1521</f>
        <v>0</v>
      </c>
      <c r="H1521" s="212">
        <f>+F1521*C1521</f>
        <v>0</v>
      </c>
    </row>
    <row r="1522" spans="2:8" hidden="1" outlineLevel="2" x14ac:dyDescent="0.25">
      <c r="B1522" s="1" t="s">
        <v>169</v>
      </c>
      <c r="C1522" s="191">
        <v>5471.78</v>
      </c>
      <c r="E1522" s="211">
        <v>0</v>
      </c>
      <c r="F1522" s="211">
        <v>0</v>
      </c>
      <c r="G1522" s="212">
        <f>+E1522*C1522</f>
        <v>0</v>
      </c>
      <c r="H1522" s="212">
        <f>+F1522*C1522</f>
        <v>0</v>
      </c>
    </row>
    <row r="1523" spans="2:8" hidden="1" outlineLevel="2" x14ac:dyDescent="0.25">
      <c r="B1523" s="1" t="s">
        <v>116</v>
      </c>
      <c r="C1523" s="191">
        <v>1411.38</v>
      </c>
      <c r="E1523" s="211">
        <v>0</v>
      </c>
      <c r="F1523" s="211">
        <v>0</v>
      </c>
      <c r="G1523" s="212">
        <f>+E1523*C1523</f>
        <v>0</v>
      </c>
      <c r="H1523" s="212">
        <f>+F1523*C1523</f>
        <v>0</v>
      </c>
    </row>
    <row r="1524" spans="2:8" hidden="1" outlineLevel="2" x14ac:dyDescent="0.25">
      <c r="B1524" s="1" t="s">
        <v>117</v>
      </c>
      <c r="C1524" s="191">
        <v>1411.38</v>
      </c>
      <c r="E1524" s="211">
        <v>0</v>
      </c>
      <c r="F1524" s="211">
        <v>0</v>
      </c>
      <c r="G1524" s="212">
        <f>+E1524*C1524</f>
        <v>0</v>
      </c>
      <c r="H1524" s="212">
        <f>+F1524*C1524</f>
        <v>0</v>
      </c>
    </row>
    <row r="1525" spans="2:8" hidden="1" outlineLevel="2" x14ac:dyDescent="0.25">
      <c r="B1525" s="1" t="s">
        <v>170</v>
      </c>
      <c r="C1525" s="191">
        <v>1227.26</v>
      </c>
      <c r="E1525" s="211">
        <v>0</v>
      </c>
      <c r="F1525" s="211">
        <v>0</v>
      </c>
      <c r="G1525" s="212">
        <f>+E1525*C1525</f>
        <v>0</v>
      </c>
      <c r="H1525" s="212">
        <f>+F1525*C1525</f>
        <v>0</v>
      </c>
    </row>
    <row r="1526" spans="2:8" hidden="1" outlineLevel="2" x14ac:dyDescent="0.25">
      <c r="B1526" s="1" t="s">
        <v>171</v>
      </c>
      <c r="C1526" s="191">
        <v>2250.4299999999998</v>
      </c>
      <c r="E1526" s="211">
        <v>0</v>
      </c>
      <c r="F1526" s="211">
        <v>0</v>
      </c>
      <c r="G1526" s="212">
        <f>+E1526*C1526</f>
        <v>0</v>
      </c>
      <c r="H1526" s="212">
        <f>+F1526*C1526</f>
        <v>0</v>
      </c>
    </row>
    <row r="1527" spans="2:8" hidden="1" outlineLevel="2" x14ac:dyDescent="0.25">
      <c r="B1527" s="1" t="s">
        <v>121</v>
      </c>
      <c r="C1527" s="191">
        <v>574.99</v>
      </c>
      <c r="E1527" s="211">
        <v>0</v>
      </c>
      <c r="F1527" s="211">
        <v>0</v>
      </c>
      <c r="G1527" s="212">
        <f>+E1527*C1527</f>
        <v>0</v>
      </c>
      <c r="H1527" s="212">
        <f>+F1527*C1527</f>
        <v>0</v>
      </c>
    </row>
    <row r="1528" spans="2:8" hidden="1" outlineLevel="2" x14ac:dyDescent="0.25">
      <c r="B1528" s="1" t="s">
        <v>172</v>
      </c>
      <c r="C1528" s="191">
        <v>1376.37</v>
      </c>
      <c r="E1528" s="211">
        <v>0</v>
      </c>
      <c r="F1528" s="211">
        <v>0</v>
      </c>
      <c r="G1528" s="212">
        <f>+E1528*C1528</f>
        <v>0</v>
      </c>
      <c r="H1528" s="212">
        <f>+F1528*C1528</f>
        <v>0</v>
      </c>
    </row>
    <row r="1529" spans="2:8" hidden="1" outlineLevel="2" x14ac:dyDescent="0.25">
      <c r="B1529" s="1" t="s">
        <v>173</v>
      </c>
      <c r="C1529" s="191">
        <v>967.52</v>
      </c>
      <c r="E1529" s="211">
        <v>0</v>
      </c>
      <c r="F1529" s="211">
        <v>0</v>
      </c>
      <c r="G1529" s="212">
        <f>+E1529*C1529</f>
        <v>0</v>
      </c>
      <c r="H1529" s="212">
        <f>+F1529*C1529</f>
        <v>0</v>
      </c>
    </row>
    <row r="1530" spans="2:8" hidden="1" outlineLevel="2" x14ac:dyDescent="0.25">
      <c r="B1530" s="1" t="s">
        <v>124</v>
      </c>
      <c r="C1530" s="191">
        <v>574.99</v>
      </c>
      <c r="E1530" s="211">
        <v>0</v>
      </c>
      <c r="F1530" s="211">
        <v>0</v>
      </c>
      <c r="G1530" s="212">
        <f>+E1530*C1530</f>
        <v>0</v>
      </c>
      <c r="H1530" s="212">
        <f>+F1530*C1530</f>
        <v>0</v>
      </c>
    </row>
    <row r="1531" spans="2:8" hidden="1" outlineLevel="1" collapsed="1" x14ac:dyDescent="0.25">
      <c r="B1531" s="207" t="s">
        <v>174</v>
      </c>
      <c r="C1531" s="208">
        <v>203302.15</v>
      </c>
      <c r="E1531" s="209"/>
      <c r="F1531" s="209"/>
      <c r="G1531" s="210"/>
      <c r="H1531" s="210"/>
    </row>
    <row r="1532" spans="2:8" hidden="1" outlineLevel="2" x14ac:dyDescent="0.25">
      <c r="B1532" s="1" t="s">
        <v>175</v>
      </c>
      <c r="C1532" s="191">
        <v>0</v>
      </c>
      <c r="E1532" s="211">
        <v>0</v>
      </c>
      <c r="F1532" s="211">
        <v>0</v>
      </c>
      <c r="G1532" s="212">
        <f>+E1532*C1532</f>
        <v>0</v>
      </c>
      <c r="H1532" s="212">
        <f>+F1532*C1532</f>
        <v>0</v>
      </c>
    </row>
    <row r="1533" spans="2:8" hidden="1" outlineLevel="2" x14ac:dyDescent="0.25">
      <c r="B1533" s="1" t="s">
        <v>138</v>
      </c>
      <c r="C1533" s="191">
        <v>6504.92</v>
      </c>
      <c r="E1533" s="211">
        <v>0</v>
      </c>
      <c r="F1533" s="211">
        <v>0</v>
      </c>
      <c r="G1533" s="212">
        <f>+E1533*C1533</f>
        <v>0</v>
      </c>
      <c r="H1533" s="212">
        <f>+F1533*C1533</f>
        <v>0</v>
      </c>
    </row>
    <row r="1534" spans="2:8" hidden="1" outlineLevel="2" x14ac:dyDescent="0.25">
      <c r="B1534" s="1" t="s">
        <v>139</v>
      </c>
      <c r="C1534" s="191">
        <v>11814.9</v>
      </c>
      <c r="E1534" s="211">
        <v>0</v>
      </c>
      <c r="F1534" s="211">
        <v>0</v>
      </c>
      <c r="G1534" s="212">
        <f>+E1534*C1534</f>
        <v>0</v>
      </c>
      <c r="H1534" s="212">
        <f>+F1534*C1534</f>
        <v>0</v>
      </c>
    </row>
    <row r="1535" spans="2:8" hidden="1" outlineLevel="2" x14ac:dyDescent="0.25">
      <c r="B1535" s="1" t="s">
        <v>140</v>
      </c>
      <c r="C1535" s="191">
        <v>5150.71</v>
      </c>
      <c r="E1535" s="211">
        <v>0</v>
      </c>
      <c r="F1535" s="211">
        <v>0</v>
      </c>
      <c r="G1535" s="212">
        <f>+E1535*C1535</f>
        <v>0</v>
      </c>
      <c r="H1535" s="212">
        <f>+F1535*C1535</f>
        <v>0</v>
      </c>
    </row>
    <row r="1536" spans="2:8" hidden="1" outlineLevel="2" x14ac:dyDescent="0.25">
      <c r="B1536" s="1" t="s">
        <v>141</v>
      </c>
      <c r="C1536" s="191">
        <v>47507.64</v>
      </c>
      <c r="E1536" s="211">
        <v>0</v>
      </c>
      <c r="F1536" s="211">
        <v>0</v>
      </c>
      <c r="G1536" s="212">
        <f>+E1536*C1536</f>
        <v>0</v>
      </c>
      <c r="H1536" s="212">
        <f>+F1536*C1536</f>
        <v>0</v>
      </c>
    </row>
    <row r="1537" spans="2:8" hidden="1" outlineLevel="2" x14ac:dyDescent="0.25">
      <c r="B1537" s="1" t="s">
        <v>142</v>
      </c>
      <c r="C1537" s="191">
        <v>2823</v>
      </c>
      <c r="E1537" s="211">
        <v>0</v>
      </c>
      <c r="F1537" s="211">
        <v>0</v>
      </c>
      <c r="G1537" s="212">
        <f>+E1537*C1537</f>
        <v>0</v>
      </c>
      <c r="H1537" s="212">
        <f>+F1537*C1537</f>
        <v>0</v>
      </c>
    </row>
    <row r="1538" spans="2:8" hidden="1" outlineLevel="2" x14ac:dyDescent="0.25">
      <c r="B1538" s="1" t="s">
        <v>143</v>
      </c>
      <c r="C1538" s="191">
        <v>13197.36</v>
      </c>
      <c r="E1538" s="211">
        <v>0</v>
      </c>
      <c r="F1538" s="211">
        <v>0</v>
      </c>
      <c r="G1538" s="212">
        <f>+E1538*C1538</f>
        <v>0</v>
      </c>
      <c r="H1538" s="212">
        <f>+F1538*C1538</f>
        <v>0</v>
      </c>
    </row>
    <row r="1539" spans="2:8" hidden="1" outlineLevel="2" x14ac:dyDescent="0.25">
      <c r="B1539" s="1" t="s">
        <v>146</v>
      </c>
      <c r="C1539" s="191">
        <v>16847.900000000001</v>
      </c>
      <c r="E1539" s="211">
        <v>0</v>
      </c>
      <c r="F1539" s="211">
        <v>0</v>
      </c>
      <c r="G1539" s="212">
        <f>+E1539*C1539</f>
        <v>0</v>
      </c>
      <c r="H1539" s="212">
        <f>+F1539*C1539</f>
        <v>0</v>
      </c>
    </row>
    <row r="1540" spans="2:8" hidden="1" outlineLevel="2" x14ac:dyDescent="0.25">
      <c r="B1540" s="1" t="s">
        <v>148</v>
      </c>
      <c r="C1540" s="191">
        <v>22412.86</v>
      </c>
      <c r="E1540" s="211">
        <v>0</v>
      </c>
      <c r="F1540" s="211">
        <v>0</v>
      </c>
      <c r="G1540" s="212">
        <f>+E1540*C1540</f>
        <v>0</v>
      </c>
      <c r="H1540" s="212">
        <f>+F1540*C1540</f>
        <v>0</v>
      </c>
    </row>
    <row r="1541" spans="2:8" hidden="1" outlineLevel="2" x14ac:dyDescent="0.25">
      <c r="B1541" s="1" t="s">
        <v>149</v>
      </c>
      <c r="C1541" s="191">
        <v>51035.76</v>
      </c>
      <c r="E1541" s="211">
        <v>0</v>
      </c>
      <c r="F1541" s="211">
        <v>0</v>
      </c>
      <c r="G1541" s="212">
        <f>+E1541*C1541</f>
        <v>0</v>
      </c>
      <c r="H1541" s="212">
        <f>+F1541*C1541</f>
        <v>0</v>
      </c>
    </row>
    <row r="1542" spans="2:8" hidden="1" outlineLevel="2" x14ac:dyDescent="0.25">
      <c r="B1542" s="1" t="s">
        <v>176</v>
      </c>
      <c r="C1542" s="191">
        <v>26007.1</v>
      </c>
      <c r="E1542" s="211">
        <v>0</v>
      </c>
      <c r="F1542" s="211">
        <v>0</v>
      </c>
      <c r="G1542" s="212">
        <f>+E1542*C1542</f>
        <v>0</v>
      </c>
      <c r="H1542" s="212">
        <f>+F1542*C1542</f>
        <v>0</v>
      </c>
    </row>
    <row r="1543" spans="2:8" hidden="1" outlineLevel="1" collapsed="1" x14ac:dyDescent="0.25">
      <c r="B1543" s="207" t="s">
        <v>177</v>
      </c>
      <c r="C1543" s="208">
        <v>98367.6</v>
      </c>
      <c r="E1543" s="209"/>
      <c r="F1543" s="209"/>
      <c r="G1543" s="210"/>
      <c r="H1543" s="210"/>
    </row>
    <row r="1544" spans="2:8" hidden="1" outlineLevel="2" x14ac:dyDescent="0.25">
      <c r="B1544" s="1" t="s">
        <v>178</v>
      </c>
      <c r="C1544" s="191">
        <v>5979.6</v>
      </c>
      <c r="E1544" s="211">
        <v>0</v>
      </c>
      <c r="F1544" s="211">
        <v>0</v>
      </c>
      <c r="G1544" s="212">
        <f>+E1544*C1544</f>
        <v>0</v>
      </c>
      <c r="H1544" s="212">
        <f>+F1544*C1544</f>
        <v>0</v>
      </c>
    </row>
    <row r="1545" spans="2:8" hidden="1" outlineLevel="2" x14ac:dyDescent="0.25">
      <c r="B1545" s="1" t="s">
        <v>179</v>
      </c>
      <c r="C1545" s="191">
        <v>10233.469999999999</v>
      </c>
      <c r="E1545" s="211">
        <v>0</v>
      </c>
      <c r="F1545" s="211">
        <v>0</v>
      </c>
      <c r="G1545" s="212">
        <f>+E1545*C1545</f>
        <v>0</v>
      </c>
      <c r="H1545" s="212">
        <f>+F1545*C1545</f>
        <v>0</v>
      </c>
    </row>
    <row r="1546" spans="2:8" hidden="1" outlineLevel="2" x14ac:dyDescent="0.25">
      <c r="B1546" s="1" t="s">
        <v>180</v>
      </c>
      <c r="C1546" s="191">
        <v>1790.52</v>
      </c>
      <c r="E1546" s="211">
        <v>0</v>
      </c>
      <c r="F1546" s="211">
        <v>0</v>
      </c>
      <c r="G1546" s="212">
        <f>+E1546*C1546</f>
        <v>0</v>
      </c>
      <c r="H1546" s="212">
        <f>+F1546*C1546</f>
        <v>0</v>
      </c>
    </row>
    <row r="1547" spans="2:8" hidden="1" outlineLevel="2" x14ac:dyDescent="0.25">
      <c r="B1547" s="1" t="s">
        <v>181</v>
      </c>
      <c r="C1547" s="191">
        <v>605.75</v>
      </c>
      <c r="E1547" s="211">
        <v>0</v>
      </c>
      <c r="F1547" s="211">
        <v>0</v>
      </c>
      <c r="G1547" s="212">
        <f>+E1547*C1547</f>
        <v>0</v>
      </c>
      <c r="H1547" s="212">
        <f>+F1547*C1547</f>
        <v>0</v>
      </c>
    </row>
    <row r="1548" spans="2:8" hidden="1" outlineLevel="2" x14ac:dyDescent="0.25">
      <c r="B1548" s="1" t="s">
        <v>182</v>
      </c>
      <c r="C1548" s="191">
        <v>489.89</v>
      </c>
      <c r="E1548" s="211">
        <v>0</v>
      </c>
      <c r="F1548" s="211">
        <v>0</v>
      </c>
      <c r="G1548" s="212">
        <f>+E1548*C1548</f>
        <v>0</v>
      </c>
      <c r="H1548" s="212">
        <f>+F1548*C1548</f>
        <v>0</v>
      </c>
    </row>
    <row r="1549" spans="2:8" hidden="1" outlineLevel="2" x14ac:dyDescent="0.25">
      <c r="B1549" s="1" t="s">
        <v>183</v>
      </c>
      <c r="C1549" s="191">
        <v>231.43</v>
      </c>
      <c r="E1549" s="211">
        <v>0</v>
      </c>
      <c r="F1549" s="211">
        <v>0</v>
      </c>
      <c r="G1549" s="212">
        <f>+E1549*C1549</f>
        <v>0</v>
      </c>
      <c r="H1549" s="212">
        <f>+F1549*C1549</f>
        <v>0</v>
      </c>
    </row>
    <row r="1550" spans="2:8" hidden="1" outlineLevel="2" x14ac:dyDescent="0.25">
      <c r="B1550" s="1" t="s">
        <v>184</v>
      </c>
      <c r="C1550" s="191">
        <v>2226.65</v>
      </c>
      <c r="E1550" s="211">
        <v>0</v>
      </c>
      <c r="F1550" s="211">
        <v>0</v>
      </c>
      <c r="G1550" s="212">
        <f>+E1550*C1550</f>
        <v>0</v>
      </c>
      <c r="H1550" s="212">
        <f>+F1550*C1550</f>
        <v>0</v>
      </c>
    </row>
    <row r="1551" spans="2:8" hidden="1" outlineLevel="2" x14ac:dyDescent="0.25">
      <c r="B1551" s="1" t="s">
        <v>185</v>
      </c>
      <c r="C1551" s="191">
        <v>5399.22</v>
      </c>
      <c r="E1551" s="211">
        <v>0</v>
      </c>
      <c r="F1551" s="211">
        <v>0</v>
      </c>
      <c r="G1551" s="212">
        <f>+E1551*C1551</f>
        <v>0</v>
      </c>
      <c r="H1551" s="212">
        <f>+F1551*C1551</f>
        <v>0</v>
      </c>
    </row>
    <row r="1552" spans="2:8" hidden="1" outlineLevel="2" x14ac:dyDescent="0.25">
      <c r="B1552" s="1" t="s">
        <v>186</v>
      </c>
      <c r="C1552" s="191">
        <v>14539.28</v>
      </c>
      <c r="E1552" s="211">
        <v>0</v>
      </c>
      <c r="F1552" s="211">
        <v>0</v>
      </c>
      <c r="G1552" s="212">
        <f>+E1552*C1552</f>
        <v>0</v>
      </c>
      <c r="H1552" s="212">
        <f>+F1552*C1552</f>
        <v>0</v>
      </c>
    </row>
    <row r="1553" spans="2:8" hidden="1" outlineLevel="2" x14ac:dyDescent="0.25">
      <c r="B1553" s="1" t="s">
        <v>165</v>
      </c>
      <c r="C1553" s="191">
        <v>3345.03</v>
      </c>
      <c r="E1553" s="211">
        <v>0</v>
      </c>
      <c r="F1553" s="211">
        <v>0</v>
      </c>
      <c r="G1553" s="212">
        <f>+E1553*C1553</f>
        <v>0</v>
      </c>
      <c r="H1553" s="212">
        <f>+F1553*C1553</f>
        <v>0</v>
      </c>
    </row>
    <row r="1554" spans="2:8" hidden="1" outlineLevel="2" x14ac:dyDescent="0.25">
      <c r="B1554" s="1" t="s">
        <v>187</v>
      </c>
      <c r="C1554" s="191">
        <v>26392.14</v>
      </c>
      <c r="E1554" s="211">
        <v>0</v>
      </c>
      <c r="F1554" s="211">
        <v>0</v>
      </c>
      <c r="G1554" s="212">
        <f>+E1554*C1554</f>
        <v>0</v>
      </c>
      <c r="H1554" s="212">
        <f>+F1554*C1554</f>
        <v>0</v>
      </c>
    </row>
    <row r="1555" spans="2:8" hidden="1" outlineLevel="2" x14ac:dyDescent="0.25">
      <c r="B1555" s="1" t="s">
        <v>131</v>
      </c>
      <c r="C1555" s="191">
        <v>2094.73</v>
      </c>
      <c r="E1555" s="211">
        <v>0</v>
      </c>
      <c r="F1555" s="211">
        <v>0</v>
      </c>
      <c r="G1555" s="212">
        <f>+E1555*C1555</f>
        <v>0</v>
      </c>
      <c r="H1555" s="212">
        <f>+F1555*C1555</f>
        <v>0</v>
      </c>
    </row>
    <row r="1556" spans="2:8" hidden="1" outlineLevel="2" x14ac:dyDescent="0.25">
      <c r="B1556" s="1" t="s">
        <v>166</v>
      </c>
      <c r="C1556" s="191">
        <v>22883.13</v>
      </c>
      <c r="E1556" s="211">
        <v>0</v>
      </c>
      <c r="F1556" s="211">
        <v>0</v>
      </c>
      <c r="G1556" s="212">
        <f>+E1556*C1556</f>
        <v>0</v>
      </c>
      <c r="H1556" s="212">
        <f>+F1556*C1556</f>
        <v>0</v>
      </c>
    </row>
    <row r="1557" spans="2:8" hidden="1" outlineLevel="2" x14ac:dyDescent="0.25">
      <c r="B1557" s="1" t="s">
        <v>188</v>
      </c>
      <c r="C1557" s="191">
        <v>2156.7600000000002</v>
      </c>
      <c r="E1557" s="211">
        <v>0</v>
      </c>
      <c r="F1557" s="211">
        <v>0</v>
      </c>
      <c r="G1557" s="212">
        <f>+E1557*C1557</f>
        <v>0</v>
      </c>
      <c r="H1557" s="212">
        <f>+F1557*C1557</f>
        <v>0</v>
      </c>
    </row>
    <row r="1558" spans="2:8" hidden="1" outlineLevel="1" collapsed="1" x14ac:dyDescent="0.25">
      <c r="B1558" s="207" t="s">
        <v>189</v>
      </c>
      <c r="C1558" s="208">
        <v>49587.97</v>
      </c>
      <c r="E1558" s="209"/>
      <c r="F1558" s="209"/>
      <c r="G1558" s="210"/>
      <c r="H1558" s="210"/>
    </row>
    <row r="1559" spans="2:8" hidden="1" outlineLevel="2" x14ac:dyDescent="0.25">
      <c r="B1559" s="1" t="s">
        <v>138</v>
      </c>
      <c r="C1559" s="191">
        <v>2222.52</v>
      </c>
      <c r="E1559" s="211">
        <v>0</v>
      </c>
      <c r="F1559" s="211">
        <v>0</v>
      </c>
      <c r="G1559" s="212">
        <f>+E1559*C1559</f>
        <v>0</v>
      </c>
      <c r="H1559" s="212">
        <f>+F1559*C1559</f>
        <v>0</v>
      </c>
    </row>
    <row r="1560" spans="2:8" hidden="1" outlineLevel="2" x14ac:dyDescent="0.25">
      <c r="B1560" s="1" t="s">
        <v>190</v>
      </c>
      <c r="C1560" s="191">
        <v>9021.93</v>
      </c>
      <c r="E1560" s="211">
        <v>0</v>
      </c>
      <c r="F1560" s="211">
        <v>0</v>
      </c>
      <c r="G1560" s="212">
        <f>+E1560*C1560</f>
        <v>0</v>
      </c>
      <c r="H1560" s="212">
        <f>+F1560*C1560</f>
        <v>0</v>
      </c>
    </row>
    <row r="1561" spans="2:8" hidden="1" outlineLevel="2" x14ac:dyDescent="0.25">
      <c r="B1561" s="1" t="s">
        <v>191</v>
      </c>
      <c r="C1561" s="191">
        <v>8210.4</v>
      </c>
      <c r="E1561" s="211">
        <v>0</v>
      </c>
      <c r="F1561" s="211">
        <v>0</v>
      </c>
      <c r="G1561" s="212">
        <f>+E1561*C1561</f>
        <v>0</v>
      </c>
      <c r="H1561" s="212">
        <f>+F1561*C1561</f>
        <v>0</v>
      </c>
    </row>
    <row r="1562" spans="2:8" hidden="1" outlineLevel="2" x14ac:dyDescent="0.25">
      <c r="B1562" s="1" t="s">
        <v>192</v>
      </c>
      <c r="C1562" s="191">
        <v>5086.68</v>
      </c>
      <c r="E1562" s="211">
        <v>0</v>
      </c>
      <c r="F1562" s="211">
        <v>0</v>
      </c>
      <c r="G1562" s="212">
        <f>+E1562*C1562</f>
        <v>0</v>
      </c>
      <c r="H1562" s="212">
        <f>+F1562*C1562</f>
        <v>0</v>
      </c>
    </row>
    <row r="1563" spans="2:8" hidden="1" outlineLevel="2" x14ac:dyDescent="0.25">
      <c r="B1563" s="1" t="s">
        <v>193</v>
      </c>
      <c r="C1563" s="191">
        <v>4289.05</v>
      </c>
      <c r="E1563" s="211">
        <v>0</v>
      </c>
      <c r="F1563" s="211">
        <v>0</v>
      </c>
      <c r="G1563" s="212">
        <f>+E1563*C1563</f>
        <v>0</v>
      </c>
      <c r="H1563" s="212">
        <f>+F1563*C1563</f>
        <v>0</v>
      </c>
    </row>
    <row r="1564" spans="2:8" hidden="1" outlineLevel="2" x14ac:dyDescent="0.25">
      <c r="B1564" s="1" t="s">
        <v>194</v>
      </c>
      <c r="C1564" s="191">
        <v>18662.66</v>
      </c>
      <c r="E1564" s="211">
        <v>0</v>
      </c>
      <c r="F1564" s="211">
        <v>0</v>
      </c>
      <c r="G1564" s="212">
        <f>+E1564*C1564</f>
        <v>0</v>
      </c>
      <c r="H1564" s="212">
        <f>+F1564*C1564</f>
        <v>0</v>
      </c>
    </row>
    <row r="1565" spans="2:8" hidden="1" outlineLevel="2" x14ac:dyDescent="0.25">
      <c r="B1565" s="1" t="s">
        <v>131</v>
      </c>
      <c r="C1565" s="191">
        <v>2094.73</v>
      </c>
      <c r="E1565" s="211">
        <v>0</v>
      </c>
      <c r="F1565" s="211">
        <v>0</v>
      </c>
      <c r="G1565" s="212">
        <f>+E1565*C1565</f>
        <v>0</v>
      </c>
      <c r="H1565" s="212">
        <f>+F1565*C1565</f>
        <v>0</v>
      </c>
    </row>
    <row r="1566" spans="2:8" hidden="1" outlineLevel="1" collapsed="1" x14ac:dyDescent="0.25">
      <c r="B1566" s="207" t="s">
        <v>195</v>
      </c>
      <c r="C1566" s="208">
        <v>4217</v>
      </c>
      <c r="E1566" s="209"/>
      <c r="F1566" s="209"/>
      <c r="G1566" s="210"/>
      <c r="H1566" s="210"/>
    </row>
    <row r="1567" spans="2:8" hidden="1" outlineLevel="2" x14ac:dyDescent="0.25">
      <c r="B1567" s="1" t="s">
        <v>196</v>
      </c>
      <c r="C1567" s="191">
        <v>1676</v>
      </c>
      <c r="E1567" s="211">
        <v>0</v>
      </c>
      <c r="F1567" s="211">
        <v>0</v>
      </c>
      <c r="G1567" s="212">
        <f>+E1567*C1567</f>
        <v>0</v>
      </c>
      <c r="H1567" s="212">
        <f>+F1567*C1567</f>
        <v>0</v>
      </c>
    </row>
    <row r="1568" spans="2:8" hidden="1" outlineLevel="2" x14ac:dyDescent="0.25">
      <c r="B1568" s="1" t="s">
        <v>197</v>
      </c>
      <c r="C1568" s="191">
        <v>2541</v>
      </c>
      <c r="E1568" s="211">
        <v>0</v>
      </c>
      <c r="F1568" s="211">
        <v>0</v>
      </c>
      <c r="G1568" s="212">
        <f>+E1568*C1568</f>
        <v>0</v>
      </c>
      <c r="H1568" s="212">
        <f>+F1568*C1568</f>
        <v>0</v>
      </c>
    </row>
    <row r="1569" spans="2:8" hidden="1" outlineLevel="1" collapsed="1" x14ac:dyDescent="0.25">
      <c r="B1569" s="207" t="s">
        <v>198</v>
      </c>
      <c r="C1569" s="208">
        <v>22126.14</v>
      </c>
      <c r="E1569" s="209"/>
      <c r="F1569" s="209"/>
      <c r="G1569" s="210"/>
      <c r="H1569" s="210"/>
    </row>
    <row r="1570" spans="2:8" hidden="1" outlineLevel="2" x14ac:dyDescent="0.25">
      <c r="B1570" s="1" t="s">
        <v>199</v>
      </c>
      <c r="C1570" s="191">
        <v>4130.46</v>
      </c>
      <c r="E1570" s="211">
        <v>0</v>
      </c>
      <c r="F1570" s="211">
        <v>0</v>
      </c>
      <c r="G1570" s="212">
        <f>+E1570*C1570</f>
        <v>0</v>
      </c>
      <c r="H1570" s="212">
        <f>+F1570*C1570</f>
        <v>0</v>
      </c>
    </row>
    <row r="1571" spans="2:8" hidden="1" outlineLevel="2" x14ac:dyDescent="0.25">
      <c r="B1571" s="1" t="s">
        <v>200</v>
      </c>
      <c r="C1571" s="191">
        <v>17995.68</v>
      </c>
      <c r="E1571" s="211">
        <v>0</v>
      </c>
      <c r="F1571" s="211">
        <v>0</v>
      </c>
      <c r="G1571" s="212">
        <f>+E1571*C1571</f>
        <v>0</v>
      </c>
      <c r="H1571" s="212">
        <f>+F1571*C1571</f>
        <v>0</v>
      </c>
    </row>
    <row r="1572" spans="2:8" hidden="1" outlineLevel="1" collapsed="1" x14ac:dyDescent="0.25">
      <c r="B1572" s="207" t="s">
        <v>201</v>
      </c>
      <c r="C1572" s="208">
        <v>103730</v>
      </c>
      <c r="E1572" s="209"/>
      <c r="F1572" s="209"/>
      <c r="G1572" s="210"/>
      <c r="H1572" s="210"/>
    </row>
    <row r="1573" spans="2:8" hidden="1" outlineLevel="2" x14ac:dyDescent="0.25">
      <c r="B1573" s="1" t="s">
        <v>202</v>
      </c>
      <c r="C1573" s="191">
        <v>2170.59</v>
      </c>
      <c r="E1573" s="211">
        <v>0</v>
      </c>
      <c r="F1573" s="211">
        <v>0</v>
      </c>
      <c r="G1573" s="212">
        <f>+E1573*C1573</f>
        <v>0</v>
      </c>
      <c r="H1573" s="212">
        <f>+F1573*C1573</f>
        <v>0</v>
      </c>
    </row>
    <row r="1574" spans="2:8" hidden="1" outlineLevel="2" x14ac:dyDescent="0.25">
      <c r="B1574" s="1" t="s">
        <v>203</v>
      </c>
      <c r="C1574" s="191">
        <v>742.82</v>
      </c>
      <c r="E1574" s="211">
        <v>0</v>
      </c>
      <c r="F1574" s="211">
        <v>0</v>
      </c>
      <c r="G1574" s="212">
        <f>+E1574*C1574</f>
        <v>0</v>
      </c>
      <c r="H1574" s="212">
        <f>+F1574*C1574</f>
        <v>0</v>
      </c>
    </row>
    <row r="1575" spans="2:8" hidden="1" outlineLevel="2" x14ac:dyDescent="0.25">
      <c r="B1575" s="1" t="s">
        <v>204</v>
      </c>
      <c r="C1575" s="191">
        <v>73.760000000000005</v>
      </c>
      <c r="E1575" s="211">
        <v>0</v>
      </c>
      <c r="F1575" s="211">
        <v>0</v>
      </c>
      <c r="G1575" s="212">
        <f>+E1575*C1575</f>
        <v>0</v>
      </c>
      <c r="H1575" s="212">
        <f>+F1575*C1575</f>
        <v>0</v>
      </c>
    </row>
    <row r="1576" spans="2:8" hidden="1" outlineLevel="2" x14ac:dyDescent="0.25">
      <c r="B1576" s="1" t="s">
        <v>205</v>
      </c>
      <c r="C1576" s="191">
        <v>431.46</v>
      </c>
      <c r="E1576" s="211">
        <v>0</v>
      </c>
      <c r="F1576" s="211">
        <v>0</v>
      </c>
      <c r="G1576" s="212">
        <f>+E1576*C1576</f>
        <v>0</v>
      </c>
      <c r="H1576" s="212">
        <f>+F1576*C1576</f>
        <v>0</v>
      </c>
    </row>
    <row r="1577" spans="2:8" hidden="1" outlineLevel="2" x14ac:dyDescent="0.25">
      <c r="B1577" s="1" t="s">
        <v>206</v>
      </c>
      <c r="C1577" s="191">
        <v>2375.46</v>
      </c>
      <c r="E1577" s="211">
        <v>0</v>
      </c>
      <c r="F1577" s="211">
        <v>0</v>
      </c>
      <c r="G1577" s="212">
        <f>+E1577*C1577</f>
        <v>0</v>
      </c>
      <c r="H1577" s="212">
        <f>+F1577*C1577</f>
        <v>0</v>
      </c>
    </row>
    <row r="1578" spans="2:8" hidden="1" outlineLevel="2" x14ac:dyDescent="0.25">
      <c r="B1578" s="1" t="s">
        <v>121</v>
      </c>
      <c r="C1578" s="191">
        <v>444.83</v>
      </c>
      <c r="E1578" s="211">
        <v>0</v>
      </c>
      <c r="F1578" s="211">
        <v>0</v>
      </c>
      <c r="G1578" s="212">
        <f>+E1578*C1578</f>
        <v>0</v>
      </c>
      <c r="H1578" s="212">
        <f>+F1578*C1578</f>
        <v>0</v>
      </c>
    </row>
    <row r="1579" spans="2:8" hidden="1" outlineLevel="2" x14ac:dyDescent="0.25">
      <c r="B1579" s="1" t="s">
        <v>207</v>
      </c>
      <c r="C1579" s="191">
        <v>3122.01</v>
      </c>
      <c r="E1579" s="211">
        <v>0</v>
      </c>
      <c r="F1579" s="211">
        <v>0</v>
      </c>
      <c r="G1579" s="212">
        <f>+E1579*C1579</f>
        <v>0</v>
      </c>
      <c r="H1579" s="212">
        <f>+F1579*C1579</f>
        <v>0</v>
      </c>
    </row>
    <row r="1580" spans="2:8" hidden="1" outlineLevel="2" x14ac:dyDescent="0.25">
      <c r="B1580" s="1" t="s">
        <v>208</v>
      </c>
      <c r="C1580" s="191">
        <v>210.33</v>
      </c>
      <c r="E1580" s="211">
        <v>0</v>
      </c>
      <c r="F1580" s="211">
        <v>0</v>
      </c>
      <c r="G1580" s="212">
        <f>+E1580*C1580</f>
        <v>0</v>
      </c>
      <c r="H1580" s="212">
        <f>+F1580*C1580</f>
        <v>0</v>
      </c>
    </row>
    <row r="1581" spans="2:8" hidden="1" outlineLevel="2" x14ac:dyDescent="0.25">
      <c r="B1581" s="1" t="s">
        <v>124</v>
      </c>
      <c r="C1581" s="191">
        <v>1</v>
      </c>
      <c r="E1581" s="211">
        <v>0</v>
      </c>
      <c r="F1581" s="211">
        <v>0</v>
      </c>
      <c r="G1581" s="212">
        <f>+E1581*C1581</f>
        <v>0</v>
      </c>
      <c r="H1581" s="212">
        <f>+F1581*C1581</f>
        <v>0</v>
      </c>
    </row>
    <row r="1582" spans="2:8" hidden="1" outlineLevel="2" x14ac:dyDescent="0.25">
      <c r="B1582" s="1" t="s">
        <v>209</v>
      </c>
      <c r="C1582" s="191">
        <v>5038.08</v>
      </c>
      <c r="E1582" s="211">
        <v>0</v>
      </c>
      <c r="F1582" s="211">
        <v>0</v>
      </c>
      <c r="G1582" s="212">
        <f>+E1582*C1582</f>
        <v>0</v>
      </c>
      <c r="H1582" s="212">
        <f>+F1582*C1582</f>
        <v>0</v>
      </c>
    </row>
    <row r="1583" spans="2:8" hidden="1" outlineLevel="2" x14ac:dyDescent="0.25">
      <c r="B1583" s="1" t="s">
        <v>210</v>
      </c>
      <c r="C1583" s="191">
        <v>17945.02</v>
      </c>
      <c r="E1583" s="211">
        <v>0</v>
      </c>
      <c r="F1583" s="211">
        <v>0</v>
      </c>
      <c r="G1583" s="212">
        <f>+E1583*C1583</f>
        <v>0</v>
      </c>
      <c r="H1583" s="212">
        <f>+F1583*C1583</f>
        <v>0</v>
      </c>
    </row>
    <row r="1584" spans="2:8" hidden="1" outlineLevel="2" x14ac:dyDescent="0.25">
      <c r="B1584" s="1" t="s">
        <v>131</v>
      </c>
      <c r="C1584" s="191">
        <v>1029.23</v>
      </c>
      <c r="E1584" s="211">
        <v>0</v>
      </c>
      <c r="F1584" s="211">
        <v>0</v>
      </c>
      <c r="G1584" s="212">
        <f>+E1584*C1584</f>
        <v>0</v>
      </c>
      <c r="H1584" s="212">
        <f>+F1584*C1584</f>
        <v>0</v>
      </c>
    </row>
    <row r="1585" spans="2:8" hidden="1" outlineLevel="2" x14ac:dyDescent="0.25">
      <c r="B1585" s="1" t="s">
        <v>211</v>
      </c>
      <c r="C1585" s="191">
        <v>33719.4</v>
      </c>
      <c r="E1585" s="211">
        <v>0</v>
      </c>
      <c r="F1585" s="211">
        <v>0</v>
      </c>
      <c r="G1585" s="212">
        <f>+E1585*C1585</f>
        <v>0</v>
      </c>
      <c r="H1585" s="212">
        <f>+F1585*C1585</f>
        <v>0</v>
      </c>
    </row>
    <row r="1586" spans="2:8" hidden="1" outlineLevel="2" x14ac:dyDescent="0.25">
      <c r="B1586" s="1" t="s">
        <v>212</v>
      </c>
      <c r="C1586" s="191">
        <v>6661.78</v>
      </c>
      <c r="E1586" s="211">
        <v>0</v>
      </c>
      <c r="F1586" s="211">
        <v>0</v>
      </c>
      <c r="G1586" s="212">
        <f>+E1586*C1586</f>
        <v>0</v>
      </c>
      <c r="H1586" s="212">
        <f>+F1586*C1586</f>
        <v>0</v>
      </c>
    </row>
    <row r="1587" spans="2:8" hidden="1" outlineLevel="2" x14ac:dyDescent="0.25">
      <c r="B1587" s="1" t="s">
        <v>131</v>
      </c>
      <c r="C1587" s="191">
        <v>341.35</v>
      </c>
      <c r="E1587" s="211">
        <v>0</v>
      </c>
      <c r="F1587" s="211">
        <v>0</v>
      </c>
      <c r="G1587" s="212">
        <f>+E1587*C1587</f>
        <v>0</v>
      </c>
      <c r="H1587" s="212">
        <f>+F1587*C1587</f>
        <v>0</v>
      </c>
    </row>
    <row r="1588" spans="2:8" hidden="1" outlineLevel="2" x14ac:dyDescent="0.25">
      <c r="B1588" s="1" t="s">
        <v>213</v>
      </c>
      <c r="C1588" s="191">
        <v>732.54</v>
      </c>
      <c r="E1588" s="211">
        <v>0</v>
      </c>
      <c r="F1588" s="211">
        <v>0</v>
      </c>
      <c r="G1588" s="212">
        <f>+E1588*C1588</f>
        <v>0</v>
      </c>
      <c r="H1588" s="212">
        <f>+F1588*C1588</f>
        <v>0</v>
      </c>
    </row>
    <row r="1589" spans="2:8" hidden="1" outlineLevel="2" x14ac:dyDescent="0.25">
      <c r="B1589" s="1" t="s">
        <v>214</v>
      </c>
      <c r="C1589" s="191">
        <v>0</v>
      </c>
      <c r="E1589" s="211">
        <v>0</v>
      </c>
      <c r="F1589" s="211">
        <v>0</v>
      </c>
      <c r="G1589" s="212">
        <f>+E1589*C1589</f>
        <v>0</v>
      </c>
      <c r="H1589" s="212">
        <f>+F1589*C1589</f>
        <v>0</v>
      </c>
    </row>
    <row r="1590" spans="2:8" hidden="1" outlineLevel="2" x14ac:dyDescent="0.25">
      <c r="B1590" s="1" t="s">
        <v>215</v>
      </c>
      <c r="C1590" s="191">
        <v>28690.34</v>
      </c>
      <c r="E1590" s="211">
        <v>0</v>
      </c>
      <c r="F1590" s="211">
        <v>0</v>
      </c>
      <c r="G1590" s="212">
        <f>+E1590*C1590</f>
        <v>0</v>
      </c>
      <c r="H1590" s="212">
        <f>+F1590*C1590</f>
        <v>0</v>
      </c>
    </row>
    <row r="1591" spans="2:8" hidden="1" outlineLevel="1" collapsed="1" x14ac:dyDescent="0.25">
      <c r="B1591" s="207" t="s">
        <v>216</v>
      </c>
      <c r="C1591" s="208">
        <v>132417.71</v>
      </c>
      <c r="E1591" s="209"/>
      <c r="F1591" s="209"/>
      <c r="G1591" s="210"/>
      <c r="H1591" s="210"/>
    </row>
    <row r="1592" spans="2:8" hidden="1" outlineLevel="2" x14ac:dyDescent="0.25">
      <c r="B1592" s="1" t="s">
        <v>217</v>
      </c>
      <c r="C1592" s="191">
        <v>70780.960000000006</v>
      </c>
      <c r="E1592" s="211">
        <v>0</v>
      </c>
      <c r="F1592" s="211">
        <v>0</v>
      </c>
      <c r="G1592" s="212">
        <f>+E1592*C1592</f>
        <v>0</v>
      </c>
      <c r="H1592" s="212">
        <f>+F1592*C1592</f>
        <v>0</v>
      </c>
    </row>
    <row r="1593" spans="2:8" hidden="1" outlineLevel="2" x14ac:dyDescent="0.25">
      <c r="B1593" s="1" t="s">
        <v>218</v>
      </c>
      <c r="C1593" s="191">
        <v>40492.239999999998</v>
      </c>
      <c r="E1593" s="211">
        <v>0</v>
      </c>
      <c r="F1593" s="211">
        <v>0</v>
      </c>
      <c r="G1593" s="212">
        <f>+E1593*C1593</f>
        <v>0</v>
      </c>
      <c r="H1593" s="212">
        <f>+F1593*C1593</f>
        <v>0</v>
      </c>
    </row>
    <row r="1594" spans="2:8" hidden="1" outlineLevel="2" x14ac:dyDescent="0.25">
      <c r="B1594" s="1" t="s">
        <v>219</v>
      </c>
      <c r="C1594" s="191">
        <v>19337.86</v>
      </c>
      <c r="E1594" s="211">
        <v>0</v>
      </c>
      <c r="F1594" s="211">
        <v>0</v>
      </c>
      <c r="G1594" s="212">
        <f>+E1594*C1594</f>
        <v>0</v>
      </c>
      <c r="H1594" s="212">
        <f>+F1594*C1594</f>
        <v>0</v>
      </c>
    </row>
    <row r="1595" spans="2:8" hidden="1" outlineLevel="2" x14ac:dyDescent="0.25">
      <c r="B1595" s="1" t="s">
        <v>220</v>
      </c>
      <c r="C1595" s="191">
        <v>1806.65</v>
      </c>
      <c r="E1595" s="211">
        <v>0</v>
      </c>
      <c r="F1595" s="211">
        <v>0</v>
      </c>
      <c r="G1595" s="212">
        <f>+E1595*C1595</f>
        <v>0</v>
      </c>
      <c r="H1595" s="212">
        <f>+F1595*C1595</f>
        <v>0</v>
      </c>
    </row>
    <row r="1596" spans="2:8" hidden="1" outlineLevel="1" collapsed="1" x14ac:dyDescent="0.25">
      <c r="B1596" s="207" t="s">
        <v>221</v>
      </c>
      <c r="C1596" s="208">
        <v>186135.04000000001</v>
      </c>
      <c r="E1596" s="209"/>
      <c r="F1596" s="209"/>
      <c r="G1596" s="210"/>
      <c r="H1596" s="210"/>
    </row>
    <row r="1597" spans="2:8" hidden="1" outlineLevel="2" x14ac:dyDescent="0.25">
      <c r="B1597" s="1" t="s">
        <v>222</v>
      </c>
      <c r="C1597" s="191">
        <v>89347.38</v>
      </c>
      <c r="E1597" s="211">
        <v>0</v>
      </c>
      <c r="F1597" s="211">
        <v>0</v>
      </c>
      <c r="G1597" s="212">
        <f>+E1597*C1597</f>
        <v>0</v>
      </c>
      <c r="H1597" s="212">
        <f>+F1597*C1597</f>
        <v>0</v>
      </c>
    </row>
    <row r="1598" spans="2:8" hidden="1" outlineLevel="2" x14ac:dyDescent="0.25">
      <c r="B1598" s="1" t="s">
        <v>223</v>
      </c>
      <c r="C1598" s="191">
        <v>33243.03</v>
      </c>
      <c r="E1598" s="211">
        <v>0</v>
      </c>
      <c r="F1598" s="211">
        <v>0</v>
      </c>
      <c r="G1598" s="212">
        <f>+E1598*C1598</f>
        <v>0</v>
      </c>
      <c r="H1598" s="212">
        <f>+F1598*C1598</f>
        <v>0</v>
      </c>
    </row>
    <row r="1599" spans="2:8" hidden="1" outlineLevel="2" x14ac:dyDescent="0.25">
      <c r="B1599" s="1" t="s">
        <v>224</v>
      </c>
      <c r="C1599" s="191">
        <v>4696.1499999999996</v>
      </c>
      <c r="E1599" s="211">
        <v>0</v>
      </c>
      <c r="F1599" s="211">
        <v>0</v>
      </c>
      <c r="G1599" s="212">
        <f>+E1599*C1599</f>
        <v>0</v>
      </c>
      <c r="H1599" s="212">
        <f>+F1599*C1599</f>
        <v>0</v>
      </c>
    </row>
    <row r="1600" spans="2:8" hidden="1" outlineLevel="2" x14ac:dyDescent="0.25">
      <c r="B1600" s="1" t="s">
        <v>225</v>
      </c>
      <c r="C1600" s="191">
        <v>36494.33</v>
      </c>
      <c r="E1600" s="211">
        <v>0</v>
      </c>
      <c r="F1600" s="211">
        <v>0</v>
      </c>
      <c r="G1600" s="212">
        <f>+E1600*C1600</f>
        <v>0</v>
      </c>
      <c r="H1600" s="212">
        <f>+F1600*C1600</f>
        <v>0</v>
      </c>
    </row>
    <row r="1601" spans="2:8" hidden="1" outlineLevel="2" x14ac:dyDescent="0.25">
      <c r="B1601" s="1" t="s">
        <v>226</v>
      </c>
      <c r="C1601" s="191">
        <v>12771.02</v>
      </c>
      <c r="E1601" s="211">
        <v>0</v>
      </c>
      <c r="F1601" s="211">
        <v>0</v>
      </c>
      <c r="G1601" s="212">
        <f>+E1601*C1601</f>
        <v>0</v>
      </c>
      <c r="H1601" s="212">
        <f>+F1601*C1601</f>
        <v>0</v>
      </c>
    </row>
    <row r="1602" spans="2:8" hidden="1" outlineLevel="2" x14ac:dyDescent="0.25">
      <c r="B1602" s="1" t="s">
        <v>227</v>
      </c>
      <c r="C1602" s="191">
        <v>9583.1299999999992</v>
      </c>
      <c r="E1602" s="211">
        <v>0</v>
      </c>
      <c r="F1602" s="211">
        <v>0</v>
      </c>
      <c r="G1602" s="212">
        <f>+E1602*C1602</f>
        <v>0</v>
      </c>
      <c r="H1602" s="212">
        <f>+F1602*C1602</f>
        <v>0</v>
      </c>
    </row>
    <row r="1603" spans="2:8" hidden="1" outlineLevel="1" collapsed="1" x14ac:dyDescent="0.25">
      <c r="B1603" s="207" t="s">
        <v>228</v>
      </c>
      <c r="C1603" s="208">
        <v>83682.61</v>
      </c>
      <c r="E1603" s="209"/>
      <c r="F1603" s="209"/>
      <c r="G1603" s="210"/>
      <c r="H1603" s="210"/>
    </row>
    <row r="1604" spans="2:8" hidden="1" outlineLevel="2" x14ac:dyDescent="0.25">
      <c r="B1604" s="1" t="s">
        <v>229</v>
      </c>
      <c r="C1604" s="191">
        <v>36988.629999999997</v>
      </c>
      <c r="E1604" s="211">
        <v>0</v>
      </c>
      <c r="F1604" s="211">
        <v>0</v>
      </c>
      <c r="G1604" s="212">
        <f>+E1604*C1604</f>
        <v>0</v>
      </c>
      <c r="H1604" s="212">
        <f>+F1604*C1604</f>
        <v>0</v>
      </c>
    </row>
    <row r="1605" spans="2:8" hidden="1" outlineLevel="2" x14ac:dyDescent="0.25">
      <c r="B1605" s="1" t="s">
        <v>230</v>
      </c>
      <c r="C1605" s="191">
        <v>28103.47</v>
      </c>
      <c r="E1605" s="211">
        <v>0</v>
      </c>
      <c r="F1605" s="211">
        <v>0</v>
      </c>
      <c r="G1605" s="212">
        <f>+E1605*C1605</f>
        <v>0</v>
      </c>
      <c r="H1605" s="212">
        <f>+F1605*C1605</f>
        <v>0</v>
      </c>
    </row>
    <row r="1606" spans="2:8" hidden="1" outlineLevel="2" x14ac:dyDescent="0.25">
      <c r="B1606" s="1" t="s">
        <v>231</v>
      </c>
      <c r="C1606" s="191">
        <v>8885.16</v>
      </c>
      <c r="E1606" s="211">
        <v>0</v>
      </c>
      <c r="F1606" s="211">
        <v>0</v>
      </c>
      <c r="G1606" s="212">
        <f>+E1606*C1606</f>
        <v>0</v>
      </c>
      <c r="H1606" s="212">
        <f>+F1606*C1606</f>
        <v>0</v>
      </c>
    </row>
    <row r="1607" spans="2:8" hidden="1" outlineLevel="2" x14ac:dyDescent="0.25">
      <c r="B1607" s="1" t="s">
        <v>232</v>
      </c>
      <c r="C1607" s="191">
        <v>35371.5</v>
      </c>
      <c r="E1607" s="211">
        <v>0</v>
      </c>
      <c r="F1607" s="211">
        <v>0</v>
      </c>
      <c r="G1607" s="212">
        <f>+E1607*C1607</f>
        <v>0</v>
      </c>
      <c r="H1607" s="212">
        <f>+F1607*C1607</f>
        <v>0</v>
      </c>
    </row>
    <row r="1608" spans="2:8" hidden="1" outlineLevel="2" x14ac:dyDescent="0.25">
      <c r="B1608" s="1" t="s">
        <v>230</v>
      </c>
      <c r="C1608" s="191">
        <v>7843.75</v>
      </c>
      <c r="E1608" s="211">
        <v>0</v>
      </c>
      <c r="F1608" s="211">
        <v>0</v>
      </c>
      <c r="G1608" s="212">
        <f>+E1608*C1608</f>
        <v>0</v>
      </c>
      <c r="H1608" s="212">
        <f>+F1608*C1608</f>
        <v>0</v>
      </c>
    </row>
    <row r="1609" spans="2:8" hidden="1" outlineLevel="2" x14ac:dyDescent="0.25">
      <c r="B1609" s="1" t="s">
        <v>231</v>
      </c>
      <c r="C1609" s="191">
        <v>5000.1499999999996</v>
      </c>
      <c r="E1609" s="211">
        <v>0</v>
      </c>
      <c r="F1609" s="211">
        <v>0</v>
      </c>
      <c r="G1609" s="212">
        <f>+E1609*C1609</f>
        <v>0</v>
      </c>
      <c r="H1609" s="212">
        <f>+F1609*C1609</f>
        <v>0</v>
      </c>
    </row>
    <row r="1610" spans="2:8" hidden="1" outlineLevel="2" x14ac:dyDescent="0.25">
      <c r="B1610" s="1" t="s">
        <v>233</v>
      </c>
      <c r="C1610" s="191">
        <v>2806.17</v>
      </c>
      <c r="E1610" s="211">
        <v>0</v>
      </c>
      <c r="F1610" s="211">
        <v>0</v>
      </c>
      <c r="G1610" s="212">
        <f>+E1610*C1610</f>
        <v>0</v>
      </c>
      <c r="H1610" s="212">
        <f>+F1610*C1610</f>
        <v>0</v>
      </c>
    </row>
    <row r="1611" spans="2:8" hidden="1" outlineLevel="2" x14ac:dyDescent="0.25">
      <c r="B1611" s="1" t="s">
        <v>234</v>
      </c>
      <c r="C1611" s="191">
        <v>871.42</v>
      </c>
      <c r="E1611" s="211">
        <v>0</v>
      </c>
      <c r="F1611" s="211">
        <v>0</v>
      </c>
      <c r="G1611" s="212">
        <f>+E1611*C1611</f>
        <v>0</v>
      </c>
      <c r="H1611" s="212">
        <f>+F1611*C1611</f>
        <v>0</v>
      </c>
    </row>
    <row r="1612" spans="2:8" hidden="1" outlineLevel="2" x14ac:dyDescent="0.25">
      <c r="B1612" s="1" t="s">
        <v>235</v>
      </c>
      <c r="C1612" s="191">
        <v>13382.48</v>
      </c>
      <c r="E1612" s="211">
        <v>0</v>
      </c>
      <c r="F1612" s="211">
        <v>0</v>
      </c>
      <c r="G1612" s="212">
        <f>+E1612*C1612</f>
        <v>0</v>
      </c>
      <c r="H1612" s="212">
        <f>+F1612*C1612</f>
        <v>0</v>
      </c>
    </row>
    <row r="1613" spans="2:8" hidden="1" outlineLevel="2" x14ac:dyDescent="0.25">
      <c r="B1613" s="1" t="s">
        <v>236</v>
      </c>
      <c r="C1613" s="191">
        <v>2419.6999999999998</v>
      </c>
      <c r="E1613" s="211">
        <v>0</v>
      </c>
      <c r="F1613" s="211">
        <v>0</v>
      </c>
      <c r="G1613" s="212">
        <f>+E1613*C1613</f>
        <v>0</v>
      </c>
      <c r="H1613" s="212">
        <f>+F1613*C1613</f>
        <v>0</v>
      </c>
    </row>
    <row r="1614" spans="2:8" hidden="1" outlineLevel="2" x14ac:dyDescent="0.25">
      <c r="B1614" s="1" t="s">
        <v>237</v>
      </c>
      <c r="C1614" s="191">
        <v>3047.83</v>
      </c>
      <c r="E1614" s="211">
        <v>0</v>
      </c>
      <c r="F1614" s="211">
        <v>0</v>
      </c>
      <c r="G1614" s="212">
        <f>+E1614*C1614</f>
        <v>0</v>
      </c>
      <c r="H1614" s="212">
        <f>+F1614*C1614</f>
        <v>0</v>
      </c>
    </row>
    <row r="1615" spans="2:8" hidden="1" outlineLevel="2" x14ac:dyDescent="0.25">
      <c r="B1615" s="1" t="s">
        <v>63</v>
      </c>
      <c r="C1615" s="191">
        <v>11322.48</v>
      </c>
      <c r="E1615" s="211">
        <v>0</v>
      </c>
      <c r="F1615" s="211">
        <v>0</v>
      </c>
      <c r="G1615" s="212">
        <f>+E1615*C1615</f>
        <v>0</v>
      </c>
      <c r="H1615" s="212">
        <f>+F1615*C1615</f>
        <v>0</v>
      </c>
    </row>
    <row r="1616" spans="2:8" hidden="1" outlineLevel="2" x14ac:dyDescent="0.25">
      <c r="B1616" s="1" t="s">
        <v>230</v>
      </c>
      <c r="C1616" s="191">
        <v>7411.85</v>
      </c>
      <c r="E1616" s="211">
        <v>0</v>
      </c>
      <c r="F1616" s="211">
        <v>0</v>
      </c>
      <c r="G1616" s="212">
        <f>+E1616*C1616</f>
        <v>0</v>
      </c>
      <c r="H1616" s="212">
        <f>+F1616*C1616</f>
        <v>0</v>
      </c>
    </row>
    <row r="1617" spans="2:8" hidden="1" outlineLevel="2" x14ac:dyDescent="0.25">
      <c r="B1617" s="1" t="s">
        <v>231</v>
      </c>
      <c r="C1617" s="191">
        <v>3910.63</v>
      </c>
      <c r="E1617" s="211">
        <v>0</v>
      </c>
      <c r="F1617" s="211">
        <v>0</v>
      </c>
      <c r="G1617" s="212">
        <f>+E1617*C1617</f>
        <v>0</v>
      </c>
      <c r="H1617" s="212">
        <f>+F1617*C1617</f>
        <v>0</v>
      </c>
    </row>
    <row r="1618" spans="2:8" hidden="1" outlineLevel="1" collapsed="1" x14ac:dyDescent="0.25">
      <c r="B1618" s="207" t="s">
        <v>238</v>
      </c>
      <c r="C1618" s="208">
        <v>601.23</v>
      </c>
      <c r="E1618" s="209"/>
      <c r="F1618" s="209"/>
      <c r="G1618" s="210"/>
      <c r="H1618" s="210"/>
    </row>
    <row r="1619" spans="2:8" hidden="1" outlineLevel="2" x14ac:dyDescent="0.25">
      <c r="B1619" s="1" t="s">
        <v>239</v>
      </c>
      <c r="C1619" s="191">
        <v>601.23</v>
      </c>
      <c r="E1619" s="211">
        <v>0</v>
      </c>
      <c r="F1619" s="211">
        <v>0</v>
      </c>
      <c r="G1619" s="212">
        <f>+E1619*C1619</f>
        <v>0</v>
      </c>
      <c r="H1619" s="212">
        <f>+F1619*C1619</f>
        <v>0</v>
      </c>
    </row>
    <row r="1620" spans="2:8" hidden="1" outlineLevel="1" collapsed="1" x14ac:dyDescent="0.25">
      <c r="B1620" s="207" t="s">
        <v>240</v>
      </c>
      <c r="C1620" s="208">
        <v>6748</v>
      </c>
      <c r="E1620" s="209"/>
      <c r="F1620" s="209"/>
      <c r="G1620" s="210"/>
      <c r="H1620" s="210"/>
    </row>
    <row r="1621" spans="2:8" hidden="1" outlineLevel="2" x14ac:dyDescent="0.25">
      <c r="B1621" s="1" t="s">
        <v>241</v>
      </c>
      <c r="C1621" s="191">
        <v>4908</v>
      </c>
      <c r="E1621" s="211">
        <v>0</v>
      </c>
      <c r="F1621" s="211">
        <v>0</v>
      </c>
      <c r="G1621" s="212">
        <f>+E1621*C1621</f>
        <v>0</v>
      </c>
      <c r="H1621" s="212">
        <f>+F1621*C1621</f>
        <v>0</v>
      </c>
    </row>
    <row r="1622" spans="2:8" hidden="1" outlineLevel="2" x14ac:dyDescent="0.25">
      <c r="B1622" s="1" t="s">
        <v>242</v>
      </c>
      <c r="C1622" s="191">
        <v>1840</v>
      </c>
      <c r="E1622" s="211">
        <v>0</v>
      </c>
      <c r="F1622" s="211">
        <v>0</v>
      </c>
      <c r="G1622" s="212">
        <f>+E1622*C1622</f>
        <v>0</v>
      </c>
      <c r="H1622" s="212">
        <f>+F1622*C1622</f>
        <v>0</v>
      </c>
    </row>
    <row r="1623" spans="2:8" hidden="1" outlineLevel="1" collapsed="1" x14ac:dyDescent="0.25">
      <c r="B1623" s="207" t="s">
        <v>243</v>
      </c>
      <c r="C1623" s="208">
        <v>84000.59</v>
      </c>
      <c r="E1623" s="209"/>
      <c r="F1623" s="209"/>
      <c r="G1623" s="210"/>
      <c r="H1623" s="210"/>
    </row>
    <row r="1624" spans="2:8" hidden="1" outlineLevel="2" x14ac:dyDescent="0.25">
      <c r="B1624" s="1" t="s">
        <v>244</v>
      </c>
      <c r="C1624" s="191">
        <v>22907.69</v>
      </c>
      <c r="E1624" s="211">
        <v>0</v>
      </c>
      <c r="F1624" s="211">
        <v>0</v>
      </c>
      <c r="G1624" s="212">
        <f>+E1624*C1624</f>
        <v>0</v>
      </c>
      <c r="H1624" s="212">
        <f>+F1624*C1624</f>
        <v>0</v>
      </c>
    </row>
    <row r="1625" spans="2:8" hidden="1" outlineLevel="2" x14ac:dyDescent="0.25">
      <c r="B1625" s="1" t="s">
        <v>245</v>
      </c>
      <c r="C1625" s="191">
        <v>13744.6</v>
      </c>
      <c r="E1625" s="211">
        <v>0</v>
      </c>
      <c r="F1625" s="211">
        <v>0</v>
      </c>
      <c r="G1625" s="212">
        <f>+E1625*C1625</f>
        <v>0</v>
      </c>
      <c r="H1625" s="212">
        <f>+F1625*C1625</f>
        <v>0</v>
      </c>
    </row>
    <row r="1626" spans="2:8" hidden="1" outlineLevel="2" x14ac:dyDescent="0.25">
      <c r="B1626" s="1" t="s">
        <v>246</v>
      </c>
      <c r="C1626" s="191">
        <v>5059.93</v>
      </c>
      <c r="E1626" s="211">
        <v>0</v>
      </c>
      <c r="F1626" s="211">
        <v>0</v>
      </c>
      <c r="G1626" s="212">
        <f>+E1626*C1626</f>
        <v>0</v>
      </c>
      <c r="H1626" s="212">
        <f>+F1626*C1626</f>
        <v>0</v>
      </c>
    </row>
    <row r="1627" spans="2:8" hidden="1" outlineLevel="2" x14ac:dyDescent="0.25">
      <c r="B1627" s="1" t="s">
        <v>247</v>
      </c>
      <c r="C1627" s="191">
        <v>16035.38</v>
      </c>
      <c r="E1627" s="211">
        <v>0</v>
      </c>
      <c r="F1627" s="211">
        <v>0</v>
      </c>
      <c r="G1627" s="212">
        <f>+E1627*C1627</f>
        <v>0</v>
      </c>
      <c r="H1627" s="212">
        <f>+F1627*C1627</f>
        <v>0</v>
      </c>
    </row>
    <row r="1628" spans="2:8" hidden="1" outlineLevel="2" x14ac:dyDescent="0.25">
      <c r="B1628" s="1" t="s">
        <v>248</v>
      </c>
      <c r="C1628" s="191">
        <v>20239.72</v>
      </c>
      <c r="E1628" s="211">
        <v>0</v>
      </c>
      <c r="F1628" s="211">
        <v>0</v>
      </c>
      <c r="G1628" s="212">
        <f>+E1628*C1628</f>
        <v>0</v>
      </c>
      <c r="H1628" s="212">
        <f>+F1628*C1628</f>
        <v>0</v>
      </c>
    </row>
    <row r="1629" spans="2:8" hidden="1" outlineLevel="2" x14ac:dyDescent="0.25">
      <c r="B1629" s="1" t="s">
        <v>249</v>
      </c>
      <c r="C1629" s="191">
        <v>6013.27</v>
      </c>
      <c r="E1629" s="211">
        <v>0</v>
      </c>
      <c r="F1629" s="211">
        <v>0</v>
      </c>
      <c r="G1629" s="212">
        <f>+E1629*C1629</f>
        <v>0</v>
      </c>
      <c r="H1629" s="212">
        <f>+F1629*C1629</f>
        <v>0</v>
      </c>
    </row>
    <row r="1630" spans="2:8" hidden="1" outlineLevel="1" collapsed="1" x14ac:dyDescent="0.25">
      <c r="B1630" s="207" t="s">
        <v>250</v>
      </c>
      <c r="C1630" s="208">
        <v>69227.91</v>
      </c>
      <c r="E1630" s="209"/>
      <c r="F1630" s="209"/>
      <c r="G1630" s="210"/>
      <c r="H1630" s="210"/>
    </row>
    <row r="1631" spans="2:8" hidden="1" outlineLevel="2" x14ac:dyDescent="0.25">
      <c r="B1631" s="1" t="s">
        <v>251</v>
      </c>
      <c r="C1631" s="191">
        <v>15352.29</v>
      </c>
      <c r="E1631" s="211">
        <v>0</v>
      </c>
      <c r="F1631" s="211">
        <v>0</v>
      </c>
      <c r="G1631" s="212">
        <f>+E1631*C1631</f>
        <v>0</v>
      </c>
      <c r="H1631" s="212">
        <f>+F1631*C1631</f>
        <v>0</v>
      </c>
    </row>
    <row r="1632" spans="2:8" hidden="1" outlineLevel="2" x14ac:dyDescent="0.25">
      <c r="B1632" s="1" t="s">
        <v>252</v>
      </c>
      <c r="C1632" s="191">
        <v>24149.67</v>
      </c>
      <c r="E1632" s="211">
        <v>0</v>
      </c>
      <c r="F1632" s="211">
        <v>0</v>
      </c>
      <c r="G1632" s="212">
        <f>+E1632*C1632</f>
        <v>0</v>
      </c>
      <c r="H1632" s="212">
        <f>+F1632*C1632</f>
        <v>0</v>
      </c>
    </row>
    <row r="1633" spans="2:8" hidden="1" outlineLevel="2" x14ac:dyDescent="0.25">
      <c r="B1633" s="1" t="s">
        <v>253</v>
      </c>
      <c r="C1633" s="191">
        <v>24149.67</v>
      </c>
      <c r="E1633" s="211">
        <v>0</v>
      </c>
      <c r="F1633" s="211">
        <v>0</v>
      </c>
      <c r="G1633" s="212">
        <f>+E1633*C1633</f>
        <v>0</v>
      </c>
      <c r="H1633" s="212">
        <f>+F1633*C1633</f>
        <v>0</v>
      </c>
    </row>
    <row r="1634" spans="2:8" hidden="1" outlineLevel="2" x14ac:dyDescent="0.25">
      <c r="B1634" s="1" t="s">
        <v>254</v>
      </c>
      <c r="C1634" s="191">
        <v>5576.28</v>
      </c>
      <c r="E1634" s="211">
        <v>0</v>
      </c>
      <c r="F1634" s="211">
        <v>0</v>
      </c>
      <c r="G1634" s="212">
        <f>+E1634*C1634</f>
        <v>0</v>
      </c>
      <c r="H1634" s="212">
        <f>+F1634*C1634</f>
        <v>0</v>
      </c>
    </row>
    <row r="1635" spans="2:8" hidden="1" outlineLevel="1" collapsed="1" x14ac:dyDescent="0.25">
      <c r="B1635" s="207" t="s">
        <v>255</v>
      </c>
      <c r="C1635" s="208">
        <v>84201.54</v>
      </c>
      <c r="E1635" s="209"/>
      <c r="F1635" s="209"/>
      <c r="G1635" s="210"/>
      <c r="H1635" s="210"/>
    </row>
    <row r="1636" spans="2:8" hidden="1" outlineLevel="2" x14ac:dyDescent="0.25">
      <c r="B1636" s="1" t="s">
        <v>256</v>
      </c>
      <c r="C1636" s="191">
        <v>12127.73</v>
      </c>
      <c r="E1636" s="211">
        <v>0</v>
      </c>
      <c r="F1636" s="211">
        <v>0</v>
      </c>
      <c r="G1636" s="212">
        <f>+E1636*C1636</f>
        <v>0</v>
      </c>
      <c r="H1636" s="212">
        <f>+F1636*C1636</f>
        <v>0</v>
      </c>
    </row>
    <row r="1637" spans="2:8" hidden="1" outlineLevel="2" x14ac:dyDescent="0.25">
      <c r="B1637" s="1" t="s">
        <v>257</v>
      </c>
      <c r="C1637" s="191">
        <v>2414.94</v>
      </c>
      <c r="E1637" s="211">
        <v>0</v>
      </c>
      <c r="F1637" s="211">
        <v>0</v>
      </c>
      <c r="G1637" s="212">
        <f>+E1637*C1637</f>
        <v>0</v>
      </c>
      <c r="H1637" s="212">
        <f>+F1637*C1637</f>
        <v>0</v>
      </c>
    </row>
    <row r="1638" spans="2:8" hidden="1" outlineLevel="2" x14ac:dyDescent="0.25">
      <c r="B1638" s="1" t="s">
        <v>258</v>
      </c>
      <c r="C1638" s="191">
        <v>747.48</v>
      </c>
      <c r="E1638" s="211">
        <v>0</v>
      </c>
      <c r="F1638" s="211">
        <v>0</v>
      </c>
      <c r="G1638" s="212">
        <f>+E1638*C1638</f>
        <v>0</v>
      </c>
      <c r="H1638" s="212">
        <f>+F1638*C1638</f>
        <v>0</v>
      </c>
    </row>
    <row r="1639" spans="2:8" hidden="1" outlineLevel="2" x14ac:dyDescent="0.25">
      <c r="B1639" s="1" t="s">
        <v>259</v>
      </c>
      <c r="C1639" s="191">
        <v>5851.14</v>
      </c>
      <c r="E1639" s="211">
        <v>0</v>
      </c>
      <c r="F1639" s="211">
        <v>0</v>
      </c>
      <c r="G1639" s="212">
        <f>+E1639*C1639</f>
        <v>0</v>
      </c>
      <c r="H1639" s="212">
        <f>+F1639*C1639</f>
        <v>0</v>
      </c>
    </row>
    <row r="1640" spans="2:8" hidden="1" outlineLevel="2" x14ac:dyDescent="0.25">
      <c r="B1640" s="1" t="s">
        <v>260</v>
      </c>
      <c r="C1640" s="191">
        <v>2824.4</v>
      </c>
      <c r="E1640" s="211">
        <v>0</v>
      </c>
      <c r="F1640" s="211">
        <v>0</v>
      </c>
      <c r="G1640" s="212">
        <f>+E1640*C1640</f>
        <v>0</v>
      </c>
      <c r="H1640" s="212">
        <f>+F1640*C1640</f>
        <v>0</v>
      </c>
    </row>
    <row r="1641" spans="2:8" hidden="1" outlineLevel="2" x14ac:dyDescent="0.25">
      <c r="B1641" s="1" t="s">
        <v>261</v>
      </c>
      <c r="C1641" s="191">
        <v>1117.24</v>
      </c>
      <c r="E1641" s="211">
        <v>0</v>
      </c>
      <c r="F1641" s="211">
        <v>0</v>
      </c>
      <c r="G1641" s="212">
        <f>+E1641*C1641</f>
        <v>0</v>
      </c>
      <c r="H1641" s="212">
        <f>+F1641*C1641</f>
        <v>0</v>
      </c>
    </row>
    <row r="1642" spans="2:8" hidden="1" outlineLevel="2" x14ac:dyDescent="0.25">
      <c r="B1642" s="1" t="s">
        <v>262</v>
      </c>
      <c r="C1642" s="191">
        <v>2711.1</v>
      </c>
      <c r="E1642" s="211">
        <v>0</v>
      </c>
      <c r="F1642" s="211">
        <v>0</v>
      </c>
      <c r="G1642" s="212">
        <f>+E1642*C1642</f>
        <v>0</v>
      </c>
      <c r="H1642" s="212">
        <f>+F1642*C1642</f>
        <v>0</v>
      </c>
    </row>
    <row r="1643" spans="2:8" hidden="1" outlineLevel="2" x14ac:dyDescent="0.25">
      <c r="B1643" s="1" t="s">
        <v>263</v>
      </c>
      <c r="C1643" s="191">
        <v>4337.76</v>
      </c>
      <c r="E1643" s="211">
        <v>0</v>
      </c>
      <c r="F1643" s="211">
        <v>0</v>
      </c>
      <c r="G1643" s="212">
        <f>+E1643*C1643</f>
        <v>0</v>
      </c>
      <c r="H1643" s="212">
        <f>+F1643*C1643</f>
        <v>0</v>
      </c>
    </row>
    <row r="1644" spans="2:8" hidden="1" outlineLevel="2" x14ac:dyDescent="0.25">
      <c r="B1644" s="1" t="s">
        <v>264</v>
      </c>
      <c r="C1644" s="191">
        <v>10302.18</v>
      </c>
      <c r="E1644" s="211">
        <v>0</v>
      </c>
      <c r="F1644" s="211">
        <v>0</v>
      </c>
      <c r="G1644" s="212">
        <f>+E1644*C1644</f>
        <v>0</v>
      </c>
      <c r="H1644" s="212">
        <f>+F1644*C1644</f>
        <v>0</v>
      </c>
    </row>
    <row r="1645" spans="2:8" hidden="1" outlineLevel="2" x14ac:dyDescent="0.25">
      <c r="B1645" s="1" t="s">
        <v>265</v>
      </c>
      <c r="C1645" s="191">
        <v>5027.58</v>
      </c>
      <c r="E1645" s="211">
        <v>0</v>
      </c>
      <c r="F1645" s="211">
        <v>0</v>
      </c>
      <c r="G1645" s="212">
        <f>+E1645*C1645</f>
        <v>0</v>
      </c>
      <c r="H1645" s="212">
        <f>+F1645*C1645</f>
        <v>0</v>
      </c>
    </row>
    <row r="1646" spans="2:8" hidden="1" outlineLevel="2" x14ac:dyDescent="0.25">
      <c r="B1646" s="1" t="s">
        <v>266</v>
      </c>
      <c r="C1646" s="191">
        <v>3863.94</v>
      </c>
      <c r="E1646" s="211">
        <v>0</v>
      </c>
      <c r="F1646" s="211">
        <v>0</v>
      </c>
      <c r="G1646" s="212">
        <f>+E1646*C1646</f>
        <v>0</v>
      </c>
      <c r="H1646" s="212">
        <f>+F1646*C1646</f>
        <v>0</v>
      </c>
    </row>
    <row r="1647" spans="2:8" hidden="1" outlineLevel="2" x14ac:dyDescent="0.25">
      <c r="B1647" s="1" t="s">
        <v>267</v>
      </c>
      <c r="C1647" s="191">
        <v>11569.29</v>
      </c>
      <c r="E1647" s="211">
        <v>0</v>
      </c>
      <c r="F1647" s="211">
        <v>0</v>
      </c>
      <c r="G1647" s="212">
        <f>+E1647*C1647</f>
        <v>0</v>
      </c>
      <c r="H1647" s="212">
        <f>+F1647*C1647</f>
        <v>0</v>
      </c>
    </row>
    <row r="1648" spans="2:8" hidden="1" outlineLevel="2" x14ac:dyDescent="0.25">
      <c r="B1648" s="1" t="s">
        <v>268</v>
      </c>
      <c r="C1648" s="191">
        <v>3653.46</v>
      </c>
      <c r="E1648" s="211">
        <v>0</v>
      </c>
      <c r="F1648" s="211">
        <v>0</v>
      </c>
      <c r="G1648" s="212">
        <f>+E1648*C1648</f>
        <v>0</v>
      </c>
      <c r="H1648" s="212">
        <f>+F1648*C1648</f>
        <v>0</v>
      </c>
    </row>
    <row r="1649" spans="2:8" hidden="1" outlineLevel="2" x14ac:dyDescent="0.25">
      <c r="B1649" s="1" t="s">
        <v>269</v>
      </c>
      <c r="C1649" s="191">
        <v>1255.8</v>
      </c>
      <c r="E1649" s="211">
        <v>0</v>
      </c>
      <c r="F1649" s="211">
        <v>0</v>
      </c>
      <c r="G1649" s="212">
        <f>+E1649*C1649</f>
        <v>0</v>
      </c>
      <c r="H1649" s="212">
        <f>+F1649*C1649</f>
        <v>0</v>
      </c>
    </row>
    <row r="1650" spans="2:8" hidden="1" outlineLevel="2" x14ac:dyDescent="0.25">
      <c r="B1650" s="1" t="s">
        <v>270</v>
      </c>
      <c r="C1650" s="191">
        <v>2863.44</v>
      </c>
      <c r="E1650" s="211">
        <v>0</v>
      </c>
      <c r="F1650" s="211">
        <v>0</v>
      </c>
      <c r="G1650" s="212">
        <f>+E1650*C1650</f>
        <v>0</v>
      </c>
      <c r="H1650" s="212">
        <f>+F1650*C1650</f>
        <v>0</v>
      </c>
    </row>
    <row r="1651" spans="2:8" hidden="1" outlineLevel="2" x14ac:dyDescent="0.25">
      <c r="B1651" s="1" t="s">
        <v>271</v>
      </c>
      <c r="C1651" s="191">
        <v>3674.2</v>
      </c>
      <c r="E1651" s="211">
        <v>0</v>
      </c>
      <c r="F1651" s="211">
        <v>0</v>
      </c>
      <c r="G1651" s="212">
        <f>+E1651*C1651</f>
        <v>0</v>
      </c>
      <c r="H1651" s="212">
        <f>+F1651*C1651</f>
        <v>0</v>
      </c>
    </row>
    <row r="1652" spans="2:8" hidden="1" outlineLevel="2" x14ac:dyDescent="0.25">
      <c r="B1652" s="1" t="s">
        <v>272</v>
      </c>
      <c r="C1652" s="191">
        <v>9859.86</v>
      </c>
      <c r="E1652" s="211">
        <v>0</v>
      </c>
      <c r="F1652" s="211">
        <v>0</v>
      </c>
      <c r="G1652" s="212">
        <f>+E1652*C1652</f>
        <v>0</v>
      </c>
      <c r="H1652" s="212">
        <f>+F1652*C1652</f>
        <v>0</v>
      </c>
    </row>
    <row r="1653" spans="2:8" hidden="1" outlineLevel="1" collapsed="1" x14ac:dyDescent="0.25">
      <c r="B1653" s="207" t="s">
        <v>273</v>
      </c>
      <c r="C1653" s="208">
        <v>44739.77</v>
      </c>
      <c r="E1653" s="209"/>
      <c r="F1653" s="209"/>
      <c r="G1653" s="210"/>
      <c r="H1653" s="210"/>
    </row>
    <row r="1654" spans="2:8" hidden="1" outlineLevel="2" x14ac:dyDescent="0.25">
      <c r="B1654" s="1" t="s">
        <v>274</v>
      </c>
      <c r="C1654" s="191">
        <v>1693.92</v>
      </c>
      <c r="E1654" s="211">
        <v>0</v>
      </c>
      <c r="F1654" s="211">
        <v>0</v>
      </c>
      <c r="G1654" s="212">
        <f>+E1654*C1654</f>
        <v>0</v>
      </c>
      <c r="H1654" s="212">
        <f>+F1654*C1654</f>
        <v>0</v>
      </c>
    </row>
    <row r="1655" spans="2:8" hidden="1" outlineLevel="2" x14ac:dyDescent="0.25">
      <c r="B1655" s="1" t="s">
        <v>275</v>
      </c>
      <c r="C1655" s="191">
        <v>1322.48</v>
      </c>
      <c r="E1655" s="211">
        <v>0</v>
      </c>
      <c r="F1655" s="211">
        <v>0</v>
      </c>
      <c r="G1655" s="212">
        <f>+E1655*C1655</f>
        <v>0</v>
      </c>
      <c r="H1655" s="212">
        <f>+F1655*C1655</f>
        <v>0</v>
      </c>
    </row>
    <row r="1656" spans="2:8" hidden="1" outlineLevel="2" x14ac:dyDescent="0.25">
      <c r="B1656" s="1" t="s">
        <v>276</v>
      </c>
      <c r="C1656" s="191">
        <v>828.09</v>
      </c>
      <c r="E1656" s="211">
        <v>0</v>
      </c>
      <c r="F1656" s="211">
        <v>0</v>
      </c>
      <c r="G1656" s="212">
        <f>+E1656*C1656</f>
        <v>0</v>
      </c>
      <c r="H1656" s="212">
        <f>+F1656*C1656</f>
        <v>0</v>
      </c>
    </row>
    <row r="1657" spans="2:8" hidden="1" outlineLevel="2" x14ac:dyDescent="0.25">
      <c r="B1657" s="1" t="s">
        <v>277</v>
      </c>
      <c r="C1657" s="191">
        <v>1545.82</v>
      </c>
      <c r="E1657" s="211">
        <v>0</v>
      </c>
      <c r="F1657" s="211">
        <v>0</v>
      </c>
      <c r="G1657" s="212">
        <f>+E1657*C1657</f>
        <v>0</v>
      </c>
      <c r="H1657" s="212">
        <f>+F1657*C1657</f>
        <v>0</v>
      </c>
    </row>
    <row r="1658" spans="2:8" hidden="1" outlineLevel="2" x14ac:dyDescent="0.25">
      <c r="B1658" s="1" t="s">
        <v>278</v>
      </c>
      <c r="C1658" s="191">
        <v>1294.44</v>
      </c>
      <c r="E1658" s="211">
        <v>0</v>
      </c>
      <c r="F1658" s="211">
        <v>0</v>
      </c>
      <c r="G1658" s="212">
        <f>+E1658*C1658</f>
        <v>0</v>
      </c>
      <c r="H1658" s="212">
        <f>+F1658*C1658</f>
        <v>0</v>
      </c>
    </row>
    <row r="1659" spans="2:8" hidden="1" outlineLevel="2" x14ac:dyDescent="0.25">
      <c r="B1659" s="1" t="s">
        <v>279</v>
      </c>
      <c r="C1659" s="191">
        <v>4637.46</v>
      </c>
      <c r="E1659" s="211">
        <v>0</v>
      </c>
      <c r="F1659" s="211">
        <v>0</v>
      </c>
      <c r="G1659" s="212">
        <f>+E1659*C1659</f>
        <v>0</v>
      </c>
      <c r="H1659" s="212">
        <f>+F1659*C1659</f>
        <v>0</v>
      </c>
    </row>
    <row r="1660" spans="2:8" hidden="1" outlineLevel="2" x14ac:dyDescent="0.25">
      <c r="B1660" s="1" t="s">
        <v>280</v>
      </c>
      <c r="C1660" s="191">
        <v>561.44000000000005</v>
      </c>
      <c r="E1660" s="211">
        <v>0</v>
      </c>
      <c r="F1660" s="211">
        <v>0</v>
      </c>
      <c r="G1660" s="212">
        <f>+E1660*C1660</f>
        <v>0</v>
      </c>
      <c r="H1660" s="212">
        <f>+F1660*C1660</f>
        <v>0</v>
      </c>
    </row>
    <row r="1661" spans="2:8" hidden="1" outlineLevel="2" x14ac:dyDescent="0.25">
      <c r="B1661" s="1" t="s">
        <v>281</v>
      </c>
      <c r="C1661" s="191">
        <v>4960.26</v>
      </c>
      <c r="E1661" s="211">
        <v>0</v>
      </c>
      <c r="F1661" s="211">
        <v>0</v>
      </c>
      <c r="G1661" s="212">
        <f>+E1661*C1661</f>
        <v>0</v>
      </c>
      <c r="H1661" s="212">
        <f>+F1661*C1661</f>
        <v>0</v>
      </c>
    </row>
    <row r="1662" spans="2:8" hidden="1" outlineLevel="2" x14ac:dyDescent="0.25">
      <c r="B1662" s="1" t="s">
        <v>282</v>
      </c>
      <c r="C1662" s="191">
        <v>711.4</v>
      </c>
      <c r="E1662" s="211">
        <v>0</v>
      </c>
      <c r="F1662" s="211">
        <v>0</v>
      </c>
      <c r="G1662" s="212">
        <f>+E1662*C1662</f>
        <v>0</v>
      </c>
      <c r="H1662" s="212">
        <f>+F1662*C1662</f>
        <v>0</v>
      </c>
    </row>
    <row r="1663" spans="2:8" hidden="1" outlineLevel="2" x14ac:dyDescent="0.25">
      <c r="B1663" s="1" t="s">
        <v>283</v>
      </c>
      <c r="C1663" s="191">
        <v>769.21</v>
      </c>
      <c r="E1663" s="211">
        <v>0</v>
      </c>
      <c r="F1663" s="211">
        <v>0</v>
      </c>
      <c r="G1663" s="212">
        <f>+E1663*C1663</f>
        <v>0</v>
      </c>
      <c r="H1663" s="212">
        <f>+F1663*C1663</f>
        <v>0</v>
      </c>
    </row>
    <row r="1664" spans="2:8" hidden="1" outlineLevel="2" x14ac:dyDescent="0.25">
      <c r="B1664" s="1" t="s">
        <v>284</v>
      </c>
      <c r="C1664" s="191">
        <v>1422.8</v>
      </c>
      <c r="E1664" s="211">
        <v>0</v>
      </c>
      <c r="F1664" s="211">
        <v>0</v>
      </c>
      <c r="G1664" s="212">
        <f>+E1664*C1664</f>
        <v>0</v>
      </c>
      <c r="H1664" s="212">
        <f>+F1664*C1664</f>
        <v>0</v>
      </c>
    </row>
    <row r="1665" spans="2:8" hidden="1" outlineLevel="2" x14ac:dyDescent="0.25">
      <c r="B1665" s="1" t="s">
        <v>285</v>
      </c>
      <c r="C1665" s="191">
        <v>769.21</v>
      </c>
      <c r="E1665" s="211">
        <v>0</v>
      </c>
      <c r="F1665" s="211">
        <v>0</v>
      </c>
      <c r="G1665" s="212">
        <f>+E1665*C1665</f>
        <v>0</v>
      </c>
      <c r="H1665" s="212">
        <f>+F1665*C1665</f>
        <v>0</v>
      </c>
    </row>
    <row r="1666" spans="2:8" hidden="1" outlineLevel="2" x14ac:dyDescent="0.25">
      <c r="B1666" s="1" t="s">
        <v>286</v>
      </c>
      <c r="C1666" s="191">
        <v>2845.6</v>
      </c>
      <c r="E1666" s="211">
        <v>0</v>
      </c>
      <c r="F1666" s="211">
        <v>0</v>
      </c>
      <c r="G1666" s="212">
        <f>+E1666*C1666</f>
        <v>0</v>
      </c>
      <c r="H1666" s="212">
        <f>+F1666*C1666</f>
        <v>0</v>
      </c>
    </row>
    <row r="1667" spans="2:8" hidden="1" outlineLevel="2" x14ac:dyDescent="0.25">
      <c r="B1667" s="1" t="s">
        <v>287</v>
      </c>
      <c r="C1667" s="191">
        <v>1594.78</v>
      </c>
      <c r="E1667" s="211">
        <v>0</v>
      </c>
      <c r="F1667" s="211">
        <v>0</v>
      </c>
      <c r="G1667" s="212">
        <f>+E1667*C1667</f>
        <v>0</v>
      </c>
      <c r="H1667" s="212">
        <f>+F1667*C1667</f>
        <v>0</v>
      </c>
    </row>
    <row r="1668" spans="2:8" hidden="1" outlineLevel="2" x14ac:dyDescent="0.25">
      <c r="B1668" s="1" t="s">
        <v>288</v>
      </c>
      <c r="C1668" s="191">
        <v>1765.02</v>
      </c>
      <c r="E1668" s="211">
        <v>0</v>
      </c>
      <c r="F1668" s="211">
        <v>0</v>
      </c>
      <c r="G1668" s="212">
        <f>+E1668*C1668</f>
        <v>0</v>
      </c>
      <c r="H1668" s="212">
        <f>+F1668*C1668</f>
        <v>0</v>
      </c>
    </row>
    <row r="1669" spans="2:8" hidden="1" outlineLevel="2" x14ac:dyDescent="0.25">
      <c r="B1669" s="1" t="s">
        <v>289</v>
      </c>
      <c r="C1669" s="191">
        <v>2396.31</v>
      </c>
      <c r="E1669" s="211">
        <v>0</v>
      </c>
      <c r="F1669" s="211">
        <v>0</v>
      </c>
      <c r="G1669" s="212">
        <f>+E1669*C1669</f>
        <v>0</v>
      </c>
      <c r="H1669" s="212">
        <f>+F1669*C1669</f>
        <v>0</v>
      </c>
    </row>
    <row r="1670" spans="2:8" hidden="1" outlineLevel="2" x14ac:dyDescent="0.25">
      <c r="B1670" s="1" t="s">
        <v>290</v>
      </c>
      <c r="C1670" s="191">
        <v>1176.68</v>
      </c>
      <c r="E1670" s="211">
        <v>0</v>
      </c>
      <c r="F1670" s="211">
        <v>0</v>
      </c>
      <c r="G1670" s="212">
        <f>+E1670*C1670</f>
        <v>0</v>
      </c>
      <c r="H1670" s="212">
        <f>+F1670*C1670</f>
        <v>0</v>
      </c>
    </row>
    <row r="1671" spans="2:8" hidden="1" outlineLevel="2" x14ac:dyDescent="0.25">
      <c r="B1671" s="1" t="s">
        <v>291</v>
      </c>
      <c r="C1671" s="191">
        <v>797.39</v>
      </c>
      <c r="E1671" s="211">
        <v>0</v>
      </c>
      <c r="F1671" s="211">
        <v>0</v>
      </c>
      <c r="G1671" s="212">
        <f>+E1671*C1671</f>
        <v>0</v>
      </c>
      <c r="H1671" s="212">
        <f>+F1671*C1671</f>
        <v>0</v>
      </c>
    </row>
    <row r="1672" spans="2:8" hidden="1" outlineLevel="2" x14ac:dyDescent="0.25">
      <c r="B1672" s="1" t="s">
        <v>292</v>
      </c>
      <c r="C1672" s="191">
        <v>4437.96</v>
      </c>
      <c r="E1672" s="211">
        <v>0</v>
      </c>
      <c r="F1672" s="211">
        <v>0</v>
      </c>
      <c r="G1672" s="212">
        <f>+E1672*C1672</f>
        <v>0</v>
      </c>
      <c r="H1672" s="212">
        <f>+F1672*C1672</f>
        <v>0</v>
      </c>
    </row>
    <row r="1673" spans="2:8" hidden="1" outlineLevel="2" x14ac:dyDescent="0.25">
      <c r="B1673" s="1" t="s">
        <v>293</v>
      </c>
      <c r="C1673" s="191">
        <v>2001.51</v>
      </c>
      <c r="E1673" s="211">
        <v>0</v>
      </c>
      <c r="F1673" s="211">
        <v>0</v>
      </c>
      <c r="G1673" s="212">
        <f>+E1673*C1673</f>
        <v>0</v>
      </c>
      <c r="H1673" s="212">
        <f>+F1673*C1673</f>
        <v>0</v>
      </c>
    </row>
    <row r="1674" spans="2:8" hidden="1" outlineLevel="2" x14ac:dyDescent="0.25">
      <c r="B1674" s="1" t="s">
        <v>294</v>
      </c>
      <c r="C1674" s="191">
        <v>5226.34</v>
      </c>
      <c r="E1674" s="211">
        <v>0</v>
      </c>
      <c r="F1674" s="211">
        <v>0</v>
      </c>
      <c r="G1674" s="212">
        <f>+E1674*C1674</f>
        <v>0</v>
      </c>
      <c r="H1674" s="212">
        <f>+F1674*C1674</f>
        <v>0</v>
      </c>
    </row>
    <row r="1675" spans="2:8" hidden="1" outlineLevel="2" x14ac:dyDescent="0.25">
      <c r="B1675" s="1" t="s">
        <v>124</v>
      </c>
      <c r="C1675" s="191">
        <v>287.5</v>
      </c>
      <c r="E1675" s="211">
        <v>0</v>
      </c>
      <c r="F1675" s="211">
        <v>0</v>
      </c>
      <c r="G1675" s="212">
        <f>+E1675*C1675</f>
        <v>0</v>
      </c>
      <c r="H1675" s="212">
        <f>+F1675*C1675</f>
        <v>0</v>
      </c>
    </row>
    <row r="1676" spans="2:8" hidden="1" outlineLevel="2" x14ac:dyDescent="0.25">
      <c r="B1676" s="1" t="s">
        <v>121</v>
      </c>
      <c r="C1676" s="191">
        <v>287.5</v>
      </c>
      <c r="E1676" s="211">
        <v>0</v>
      </c>
      <c r="F1676" s="211">
        <v>0</v>
      </c>
      <c r="G1676" s="212">
        <f>+E1676*C1676</f>
        <v>0</v>
      </c>
      <c r="H1676" s="212">
        <f>+F1676*C1676</f>
        <v>0</v>
      </c>
    </row>
    <row r="1677" spans="2:8" hidden="1" outlineLevel="2" x14ac:dyDescent="0.25">
      <c r="B1677" s="1" t="s">
        <v>295</v>
      </c>
      <c r="C1677" s="191">
        <v>663.84</v>
      </c>
      <c r="E1677" s="211">
        <v>0</v>
      </c>
      <c r="F1677" s="211">
        <v>0</v>
      </c>
      <c r="G1677" s="212">
        <f>+E1677*C1677</f>
        <v>0</v>
      </c>
      <c r="H1677" s="212">
        <f>+F1677*C1677</f>
        <v>0</v>
      </c>
    </row>
    <row r="1678" spans="2:8" hidden="1" outlineLevel="2" x14ac:dyDescent="0.25">
      <c r="B1678" s="1" t="s">
        <v>296</v>
      </c>
      <c r="C1678" s="191">
        <v>742.81</v>
      </c>
      <c r="E1678" s="211">
        <v>0</v>
      </c>
      <c r="F1678" s="211">
        <v>0</v>
      </c>
      <c r="G1678" s="212">
        <f>+E1678*C1678</f>
        <v>0</v>
      </c>
      <c r="H1678" s="212">
        <f>+F1678*C1678</f>
        <v>0</v>
      </c>
    </row>
    <row r="1679" spans="2:8" hidden="1" outlineLevel="1" collapsed="1" x14ac:dyDescent="0.25">
      <c r="B1679" s="207" t="s">
        <v>297</v>
      </c>
      <c r="C1679" s="208">
        <v>7447.38</v>
      </c>
      <c r="E1679" s="209"/>
      <c r="F1679" s="209"/>
      <c r="G1679" s="210"/>
      <c r="H1679" s="210"/>
    </row>
    <row r="1680" spans="2:8" hidden="1" outlineLevel="2" x14ac:dyDescent="0.25">
      <c r="B1680" s="1" t="s">
        <v>298</v>
      </c>
      <c r="C1680" s="191">
        <v>6244.41</v>
      </c>
      <c r="E1680" s="211">
        <v>0</v>
      </c>
      <c r="F1680" s="211">
        <v>0</v>
      </c>
      <c r="G1680" s="212">
        <f>+E1680*C1680</f>
        <v>0</v>
      </c>
      <c r="H1680" s="212">
        <f>+F1680*C1680</f>
        <v>0</v>
      </c>
    </row>
    <row r="1681" spans="2:8" hidden="1" outlineLevel="2" x14ac:dyDescent="0.25">
      <c r="B1681" s="1" t="s">
        <v>107</v>
      </c>
      <c r="C1681" s="191">
        <v>1202.97</v>
      </c>
      <c r="E1681" s="211">
        <v>0</v>
      </c>
      <c r="F1681" s="211">
        <v>0</v>
      </c>
      <c r="G1681" s="212">
        <f>+E1681*C1681</f>
        <v>0</v>
      </c>
      <c r="H1681" s="212">
        <f>+F1681*C1681</f>
        <v>0</v>
      </c>
    </row>
    <row r="1682" spans="2:8" hidden="1" outlineLevel="1" collapsed="1" x14ac:dyDescent="0.25">
      <c r="B1682" s="207" t="s">
        <v>299</v>
      </c>
      <c r="C1682" s="208">
        <v>60980.65</v>
      </c>
      <c r="E1682" s="209"/>
      <c r="F1682" s="209"/>
      <c r="G1682" s="210"/>
      <c r="H1682" s="210"/>
    </row>
    <row r="1683" spans="2:8" hidden="1" outlineLevel="2" x14ac:dyDescent="0.25">
      <c r="B1683" s="1" t="s">
        <v>300</v>
      </c>
      <c r="C1683" s="191">
        <v>9496.2000000000007</v>
      </c>
      <c r="E1683" s="211">
        <v>0</v>
      </c>
      <c r="F1683" s="211">
        <v>0</v>
      </c>
      <c r="G1683" s="212">
        <f>+E1683*C1683</f>
        <v>0</v>
      </c>
      <c r="H1683" s="212">
        <f>+F1683*C1683</f>
        <v>0</v>
      </c>
    </row>
    <row r="1684" spans="2:8" hidden="1" outlineLevel="2" x14ac:dyDescent="0.25">
      <c r="B1684" s="1" t="s">
        <v>301</v>
      </c>
      <c r="C1684" s="191">
        <v>33355.86</v>
      </c>
      <c r="E1684" s="211">
        <v>0</v>
      </c>
      <c r="F1684" s="211">
        <v>0</v>
      </c>
      <c r="G1684" s="212">
        <f>+E1684*C1684</f>
        <v>0</v>
      </c>
      <c r="H1684" s="212">
        <f>+F1684*C1684</f>
        <v>0</v>
      </c>
    </row>
    <row r="1685" spans="2:8" hidden="1" outlineLevel="2" x14ac:dyDescent="0.25">
      <c r="B1685" s="1" t="s">
        <v>302</v>
      </c>
      <c r="C1685" s="191">
        <v>6045.86</v>
      </c>
      <c r="E1685" s="211">
        <v>0</v>
      </c>
      <c r="F1685" s="211">
        <v>0</v>
      </c>
      <c r="G1685" s="212">
        <f>+E1685*C1685</f>
        <v>0</v>
      </c>
      <c r="H1685" s="212">
        <f>+F1685*C1685</f>
        <v>0</v>
      </c>
    </row>
    <row r="1686" spans="2:8" hidden="1" outlineLevel="2" x14ac:dyDescent="0.25">
      <c r="B1686" s="1" t="s">
        <v>303</v>
      </c>
      <c r="C1686" s="191">
        <v>5513.04</v>
      </c>
      <c r="E1686" s="211">
        <v>0</v>
      </c>
      <c r="F1686" s="211">
        <v>0</v>
      </c>
      <c r="G1686" s="212">
        <f>+E1686*C1686</f>
        <v>0</v>
      </c>
      <c r="H1686" s="212">
        <f>+F1686*C1686</f>
        <v>0</v>
      </c>
    </row>
    <row r="1687" spans="2:8" hidden="1" outlineLevel="2" x14ac:dyDescent="0.25">
      <c r="B1687" s="1" t="s">
        <v>304</v>
      </c>
      <c r="C1687" s="191">
        <v>2336.73</v>
      </c>
      <c r="E1687" s="211">
        <v>0</v>
      </c>
      <c r="F1687" s="211">
        <v>0</v>
      </c>
      <c r="G1687" s="212">
        <f>+E1687*C1687</f>
        <v>0</v>
      </c>
      <c r="H1687" s="212">
        <f>+F1687*C1687</f>
        <v>0</v>
      </c>
    </row>
    <row r="1688" spans="2:8" hidden="1" outlineLevel="2" x14ac:dyDescent="0.25">
      <c r="B1688" s="1" t="s">
        <v>305</v>
      </c>
      <c r="C1688" s="191">
        <v>1557.82</v>
      </c>
      <c r="E1688" s="211">
        <v>0</v>
      </c>
      <c r="F1688" s="211">
        <v>0</v>
      </c>
      <c r="G1688" s="212">
        <f>+E1688*C1688</f>
        <v>0</v>
      </c>
      <c r="H1688" s="212">
        <f>+F1688*C1688</f>
        <v>0</v>
      </c>
    </row>
    <row r="1689" spans="2:8" hidden="1" outlineLevel="2" x14ac:dyDescent="0.25">
      <c r="B1689" s="1" t="s">
        <v>306</v>
      </c>
      <c r="C1689" s="191">
        <v>1837.02</v>
      </c>
      <c r="E1689" s="211">
        <v>0</v>
      </c>
      <c r="F1689" s="211">
        <v>0</v>
      </c>
      <c r="G1689" s="212">
        <f>+E1689*C1689</f>
        <v>0</v>
      </c>
      <c r="H1689" s="212">
        <f>+F1689*C1689</f>
        <v>0</v>
      </c>
    </row>
    <row r="1690" spans="2:8" hidden="1" outlineLevel="2" x14ac:dyDescent="0.25">
      <c r="B1690" s="1" t="s">
        <v>307</v>
      </c>
      <c r="C1690" s="191">
        <v>838.12</v>
      </c>
      <c r="E1690" s="211">
        <v>0</v>
      </c>
      <c r="F1690" s="211">
        <v>0</v>
      </c>
      <c r="G1690" s="212">
        <f>+E1690*C1690</f>
        <v>0</v>
      </c>
      <c r="H1690" s="212">
        <f>+F1690*C1690</f>
        <v>0</v>
      </c>
    </row>
    <row r="1691" spans="2:8" hidden="1" outlineLevel="1" collapsed="1" x14ac:dyDescent="0.25">
      <c r="B1691" s="207" t="s">
        <v>308</v>
      </c>
      <c r="C1691" s="208">
        <v>33942.879999999997</v>
      </c>
      <c r="E1691" s="209"/>
      <c r="F1691" s="209"/>
      <c r="G1691" s="210"/>
      <c r="H1691" s="210"/>
    </row>
    <row r="1692" spans="2:8" hidden="1" outlineLevel="2" x14ac:dyDescent="0.25">
      <c r="B1692" s="1" t="s">
        <v>309</v>
      </c>
      <c r="C1692" s="191">
        <v>1197.02</v>
      </c>
      <c r="E1692" s="211">
        <v>0</v>
      </c>
      <c r="F1692" s="211">
        <v>0</v>
      </c>
      <c r="G1692" s="212">
        <f>+E1692*C1692</f>
        <v>0</v>
      </c>
      <c r="H1692" s="212">
        <f>+F1692*C1692</f>
        <v>0</v>
      </c>
    </row>
    <row r="1693" spans="2:8" hidden="1" outlineLevel="2" x14ac:dyDescent="0.25">
      <c r="B1693" s="1" t="s">
        <v>310</v>
      </c>
      <c r="C1693" s="191">
        <v>1437.48</v>
      </c>
      <c r="E1693" s="211">
        <v>0</v>
      </c>
      <c r="F1693" s="211">
        <v>0</v>
      </c>
      <c r="G1693" s="212">
        <f>+E1693*C1693</f>
        <v>0</v>
      </c>
      <c r="H1693" s="212">
        <f>+F1693*C1693</f>
        <v>0</v>
      </c>
    </row>
    <row r="1694" spans="2:8" hidden="1" outlineLevel="2" x14ac:dyDescent="0.25">
      <c r="B1694" s="1" t="s">
        <v>311</v>
      </c>
      <c r="C1694" s="191">
        <v>431.24</v>
      </c>
      <c r="E1694" s="211">
        <v>0</v>
      </c>
      <c r="F1694" s="211">
        <v>0</v>
      </c>
      <c r="G1694" s="212">
        <f>+E1694*C1694</f>
        <v>0</v>
      </c>
      <c r="H1694" s="212">
        <f>+F1694*C1694</f>
        <v>0</v>
      </c>
    </row>
    <row r="1695" spans="2:8" hidden="1" outlineLevel="2" x14ac:dyDescent="0.25">
      <c r="B1695" s="1" t="s">
        <v>312</v>
      </c>
      <c r="C1695" s="191">
        <v>7647.39</v>
      </c>
      <c r="E1695" s="211">
        <v>0</v>
      </c>
      <c r="F1695" s="211">
        <v>0</v>
      </c>
      <c r="G1695" s="212">
        <f>+E1695*C1695</f>
        <v>0</v>
      </c>
      <c r="H1695" s="212">
        <f>+F1695*C1695</f>
        <v>0</v>
      </c>
    </row>
    <row r="1696" spans="2:8" hidden="1" outlineLevel="2" x14ac:dyDescent="0.25">
      <c r="B1696" s="1" t="s">
        <v>313</v>
      </c>
      <c r="C1696" s="191">
        <v>11232.46</v>
      </c>
      <c r="E1696" s="211">
        <v>0</v>
      </c>
      <c r="F1696" s="211">
        <v>0</v>
      </c>
      <c r="G1696" s="212">
        <f>+E1696*C1696</f>
        <v>0</v>
      </c>
      <c r="H1696" s="212">
        <f>+F1696*C1696</f>
        <v>0</v>
      </c>
    </row>
    <row r="1697" spans="2:8" hidden="1" outlineLevel="2" x14ac:dyDescent="0.25">
      <c r="B1697" s="1" t="s">
        <v>314</v>
      </c>
      <c r="C1697" s="191">
        <v>11997.29</v>
      </c>
      <c r="E1697" s="211">
        <v>0</v>
      </c>
      <c r="F1697" s="211">
        <v>0</v>
      </c>
      <c r="G1697" s="212">
        <f>+E1697*C1697</f>
        <v>0</v>
      </c>
      <c r="H1697" s="212">
        <f>+F1697*C1697</f>
        <v>0</v>
      </c>
    </row>
    <row r="1698" spans="2:8" hidden="1" outlineLevel="1" collapsed="1" x14ac:dyDescent="0.25">
      <c r="B1698" s="207" t="s">
        <v>315</v>
      </c>
      <c r="C1698" s="208">
        <v>12595.4</v>
      </c>
      <c r="E1698" s="209"/>
      <c r="F1698" s="209"/>
      <c r="G1698" s="210"/>
      <c r="H1698" s="210"/>
    </row>
    <row r="1699" spans="2:8" hidden="1" outlineLevel="2" x14ac:dyDescent="0.25">
      <c r="B1699" s="1" t="s">
        <v>316</v>
      </c>
      <c r="C1699" s="191">
        <v>1317.5</v>
      </c>
      <c r="E1699" s="211">
        <v>0</v>
      </c>
      <c r="F1699" s="211">
        <v>0</v>
      </c>
      <c r="G1699" s="212">
        <f>+E1699*C1699</f>
        <v>0</v>
      </c>
      <c r="H1699" s="212">
        <f>+F1699*C1699</f>
        <v>0</v>
      </c>
    </row>
    <row r="1700" spans="2:8" hidden="1" outlineLevel="2" x14ac:dyDescent="0.25">
      <c r="B1700" s="1" t="s">
        <v>317</v>
      </c>
      <c r="C1700" s="191">
        <v>1618.02</v>
      </c>
      <c r="E1700" s="211">
        <v>0</v>
      </c>
      <c r="F1700" s="211">
        <v>0</v>
      </c>
      <c r="G1700" s="212">
        <f>+E1700*C1700</f>
        <v>0</v>
      </c>
      <c r="H1700" s="212">
        <f>+F1700*C1700</f>
        <v>0</v>
      </c>
    </row>
    <row r="1701" spans="2:8" hidden="1" outlineLevel="2" x14ac:dyDescent="0.25">
      <c r="B1701" s="1" t="s">
        <v>318</v>
      </c>
      <c r="C1701" s="191">
        <v>9659.8799999999992</v>
      </c>
      <c r="E1701" s="211">
        <v>0</v>
      </c>
      <c r="F1701" s="211">
        <v>0</v>
      </c>
      <c r="G1701" s="212">
        <f>+E1701*C1701</f>
        <v>0</v>
      </c>
      <c r="H1701" s="212">
        <f>+F1701*C1701</f>
        <v>0</v>
      </c>
    </row>
    <row r="1702" spans="2:8" hidden="1" outlineLevel="1" collapsed="1" x14ac:dyDescent="0.25">
      <c r="B1702" s="207" t="s">
        <v>319</v>
      </c>
      <c r="C1702" s="208">
        <v>5273.89</v>
      </c>
      <c r="E1702" s="209"/>
      <c r="F1702" s="209"/>
      <c r="G1702" s="210"/>
      <c r="H1702" s="210"/>
    </row>
    <row r="1703" spans="2:8" hidden="1" outlineLevel="2" x14ac:dyDescent="0.25">
      <c r="B1703" s="1" t="s">
        <v>320</v>
      </c>
      <c r="C1703" s="191">
        <v>2229.8200000000002</v>
      </c>
      <c r="E1703" s="211">
        <v>0</v>
      </c>
      <c r="F1703" s="211">
        <v>0</v>
      </c>
      <c r="G1703" s="212">
        <f>+E1703*C1703</f>
        <v>0</v>
      </c>
      <c r="H1703" s="212">
        <f>+F1703*C1703</f>
        <v>0</v>
      </c>
    </row>
    <row r="1704" spans="2:8" hidden="1" outlineLevel="2" x14ac:dyDescent="0.25">
      <c r="B1704" s="1" t="s">
        <v>321</v>
      </c>
      <c r="C1704" s="191">
        <v>1083.8699999999999</v>
      </c>
      <c r="E1704" s="211">
        <v>0</v>
      </c>
      <c r="F1704" s="211">
        <v>0</v>
      </c>
      <c r="G1704" s="212">
        <f>+E1704*C1704</f>
        <v>0</v>
      </c>
      <c r="H1704" s="212">
        <f>+F1704*C1704</f>
        <v>0</v>
      </c>
    </row>
    <row r="1705" spans="2:8" hidden="1" outlineLevel="2" x14ac:dyDescent="0.25">
      <c r="B1705" s="1" t="s">
        <v>322</v>
      </c>
      <c r="C1705" s="191">
        <v>1960.2</v>
      </c>
      <c r="E1705" s="211">
        <v>0</v>
      </c>
      <c r="F1705" s="211">
        <v>0</v>
      </c>
      <c r="G1705" s="212">
        <f>+E1705*C1705</f>
        <v>0</v>
      </c>
      <c r="H1705" s="212">
        <f>+F1705*C1705</f>
        <v>0</v>
      </c>
    </row>
    <row r="1706" spans="2:8" hidden="1" outlineLevel="1" collapsed="1" x14ac:dyDescent="0.25">
      <c r="B1706" s="207" t="s">
        <v>323</v>
      </c>
      <c r="C1706" s="208">
        <v>26996.04</v>
      </c>
      <c r="E1706" s="209"/>
      <c r="F1706" s="209"/>
      <c r="G1706" s="210"/>
      <c r="H1706" s="210"/>
    </row>
    <row r="1707" spans="2:8" hidden="1" outlineLevel="1" x14ac:dyDescent="0.25">
      <c r="B1707" s="1" t="s">
        <v>324</v>
      </c>
      <c r="C1707" s="191">
        <v>26996.04</v>
      </c>
      <c r="E1707" s="211">
        <v>0</v>
      </c>
      <c r="F1707" s="211">
        <v>0</v>
      </c>
      <c r="G1707" s="212">
        <f>+E1707*C1707</f>
        <v>0</v>
      </c>
      <c r="H1707" s="212">
        <f>+F1707*C1707</f>
        <v>0</v>
      </c>
    </row>
    <row r="1708" spans="2:8" collapsed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2E60-F2E5-494D-8B06-B34773F7F432}">
  <dimension ref="A1:AL10"/>
  <sheetViews>
    <sheetView workbookViewId="0">
      <selection activeCell="F23" sqref="F23"/>
    </sheetView>
  </sheetViews>
  <sheetFormatPr baseColWidth="10" defaultRowHeight="15" x14ac:dyDescent="0.25"/>
  <cols>
    <col min="1" max="1" width="25.5703125" bestFit="1" customWidth="1"/>
    <col min="2" max="2" width="13.7109375" bestFit="1" customWidth="1"/>
    <col min="3" max="38" width="13.85546875" customWidth="1"/>
  </cols>
  <sheetData>
    <row r="1" spans="1:38" x14ac:dyDescent="0.25">
      <c r="B1" s="52" t="s">
        <v>72</v>
      </c>
      <c r="C1" s="52" t="s">
        <v>73</v>
      </c>
      <c r="D1" s="52" t="s">
        <v>74</v>
      </c>
      <c r="E1" s="52" t="s">
        <v>75</v>
      </c>
      <c r="F1" s="52" t="s">
        <v>76</v>
      </c>
      <c r="G1" s="52" t="s">
        <v>77</v>
      </c>
      <c r="H1" s="52" t="s">
        <v>78</v>
      </c>
      <c r="I1" s="52" t="s">
        <v>79</v>
      </c>
      <c r="J1" s="52" t="s">
        <v>80</v>
      </c>
      <c r="K1" s="52" t="s">
        <v>81</v>
      </c>
      <c r="L1" s="52" t="s">
        <v>20</v>
      </c>
      <c r="M1" s="52" t="s">
        <v>21</v>
      </c>
      <c r="N1" s="52" t="s">
        <v>22</v>
      </c>
      <c r="O1" s="52" t="s">
        <v>23</v>
      </c>
      <c r="P1" s="52" t="s">
        <v>24</v>
      </c>
      <c r="Q1" s="52" t="s">
        <v>25</v>
      </c>
      <c r="R1" s="52" t="s">
        <v>26</v>
      </c>
      <c r="S1" s="52" t="s">
        <v>27</v>
      </c>
      <c r="T1" s="52" t="s">
        <v>28</v>
      </c>
      <c r="U1" s="52" t="s">
        <v>29</v>
      </c>
      <c r="V1" s="52" t="s">
        <v>30</v>
      </c>
      <c r="W1" s="52" t="s">
        <v>31</v>
      </c>
      <c r="X1" s="52" t="s">
        <v>32</v>
      </c>
      <c r="Y1" s="52" t="s">
        <v>33</v>
      </c>
      <c r="Z1" s="52" t="s">
        <v>34</v>
      </c>
      <c r="AA1" s="52" t="s">
        <v>35</v>
      </c>
      <c r="AB1" s="52" t="s">
        <v>36</v>
      </c>
      <c r="AC1" s="52" t="s">
        <v>37</v>
      </c>
      <c r="AD1" s="52" t="s">
        <v>38</v>
      </c>
      <c r="AE1" s="52" t="s">
        <v>39</v>
      </c>
      <c r="AF1" s="52" t="s">
        <v>40</v>
      </c>
      <c r="AG1" s="52" t="s">
        <v>41</v>
      </c>
      <c r="AH1" s="52" t="s">
        <v>42</v>
      </c>
      <c r="AI1" s="52" t="s">
        <v>43</v>
      </c>
      <c r="AJ1" s="52" t="s">
        <v>44</v>
      </c>
      <c r="AK1" s="52" t="s">
        <v>45</v>
      </c>
      <c r="AL1" s="52" t="s">
        <v>46</v>
      </c>
    </row>
    <row r="3" spans="1:38" x14ac:dyDescent="0.25">
      <c r="A3" t="s">
        <v>68</v>
      </c>
      <c r="B3" s="50">
        <v>0</v>
      </c>
      <c r="C3" s="50">
        <v>8251.84</v>
      </c>
      <c r="D3" s="50">
        <v>56591.48</v>
      </c>
      <c r="E3" s="50">
        <v>137533.68</v>
      </c>
      <c r="F3" s="50">
        <v>286436.26</v>
      </c>
      <c r="G3" s="50">
        <v>426067.55000000005</v>
      </c>
      <c r="H3" s="50">
        <v>432997.31999999995</v>
      </c>
      <c r="I3" s="50">
        <v>399305.8</v>
      </c>
      <c r="J3" s="50">
        <v>287655.56999999995</v>
      </c>
      <c r="K3" s="50">
        <v>392489.59</v>
      </c>
      <c r="L3" s="50">
        <v>482050.72</v>
      </c>
      <c r="M3" s="50">
        <v>468189.67</v>
      </c>
      <c r="N3" s="50">
        <v>490891.73000000004</v>
      </c>
      <c r="O3" s="50">
        <v>383096.34</v>
      </c>
      <c r="P3" s="50">
        <v>370147.27</v>
      </c>
      <c r="Q3" s="50">
        <v>268616.69</v>
      </c>
      <c r="R3" s="50">
        <v>274156.19999999995</v>
      </c>
      <c r="S3" s="50">
        <v>206972.4</v>
      </c>
      <c r="T3" s="50">
        <v>223017.83000000002</v>
      </c>
      <c r="U3" s="50">
        <v>266052.14</v>
      </c>
      <c r="V3" s="50">
        <v>506264.07</v>
      </c>
      <c r="W3" s="50">
        <v>736580.85000000009</v>
      </c>
      <c r="X3" s="50">
        <v>826605.45000000007</v>
      </c>
      <c r="Y3" s="50">
        <v>702657.14000000013</v>
      </c>
      <c r="Z3" s="50">
        <v>652900.80000000005</v>
      </c>
      <c r="AA3" s="50">
        <v>853117.7</v>
      </c>
      <c r="AB3" s="50">
        <v>816662.59999999986</v>
      </c>
      <c r="AC3" s="50">
        <v>599730.55999999994</v>
      </c>
      <c r="AD3" s="50">
        <v>517153.01</v>
      </c>
      <c r="AE3" s="50">
        <v>440851.67000000004</v>
      </c>
      <c r="AF3" s="50">
        <v>274534.34999999998</v>
      </c>
      <c r="AG3" s="50">
        <v>156240.01999999999</v>
      </c>
      <c r="AH3" s="50">
        <v>115714.51999999999</v>
      </c>
      <c r="AI3" s="50">
        <v>73347.399999999994</v>
      </c>
      <c r="AJ3" s="50">
        <v>37913.300000000003</v>
      </c>
      <c r="AK3" s="50">
        <v>10692.22</v>
      </c>
      <c r="AL3" s="50">
        <v>2635.1800000000003</v>
      </c>
    </row>
    <row r="4" spans="1:38" x14ac:dyDescent="0.25">
      <c r="A4" t="s">
        <v>69</v>
      </c>
      <c r="B4" s="50">
        <v>0</v>
      </c>
      <c r="C4" s="50">
        <f>+B4+C3</f>
        <v>8251.84</v>
      </c>
      <c r="D4" s="50">
        <f t="shared" ref="D4:AH4" si="0">+C4+D3</f>
        <v>64843.320000000007</v>
      </c>
      <c r="E4" s="50">
        <f t="shared" si="0"/>
        <v>202377</v>
      </c>
      <c r="F4" s="50">
        <f t="shared" si="0"/>
        <v>488813.26</v>
      </c>
      <c r="G4" s="50">
        <f t="shared" si="0"/>
        <v>914880.81</v>
      </c>
      <c r="H4" s="50">
        <f t="shared" si="0"/>
        <v>1347878.13</v>
      </c>
      <c r="I4" s="50">
        <f t="shared" si="0"/>
        <v>1747183.93</v>
      </c>
      <c r="J4" s="50">
        <f t="shared" si="0"/>
        <v>2034839.5</v>
      </c>
      <c r="K4" s="50">
        <f t="shared" si="0"/>
        <v>2427329.09</v>
      </c>
      <c r="L4" s="50">
        <f t="shared" si="0"/>
        <v>2909379.8099999996</v>
      </c>
      <c r="M4" s="50">
        <f t="shared" si="0"/>
        <v>3377569.4799999995</v>
      </c>
      <c r="N4" s="50">
        <f t="shared" si="0"/>
        <v>3868461.2099999995</v>
      </c>
      <c r="O4" s="50">
        <f t="shared" si="0"/>
        <v>4251557.55</v>
      </c>
      <c r="P4" s="50">
        <f t="shared" si="0"/>
        <v>4621704.82</v>
      </c>
      <c r="Q4" s="50">
        <f t="shared" si="0"/>
        <v>4890321.5100000007</v>
      </c>
      <c r="R4" s="50">
        <f t="shared" si="0"/>
        <v>5164477.7100000009</v>
      </c>
      <c r="S4" s="50">
        <f t="shared" si="0"/>
        <v>5371450.1100000013</v>
      </c>
      <c r="T4" s="50">
        <f t="shared" si="0"/>
        <v>5594467.9400000013</v>
      </c>
      <c r="U4" s="50">
        <f t="shared" si="0"/>
        <v>5860520.080000001</v>
      </c>
      <c r="V4" s="50">
        <f t="shared" si="0"/>
        <v>6366784.1500000013</v>
      </c>
      <c r="W4" s="50">
        <f t="shared" si="0"/>
        <v>7103365.0000000019</v>
      </c>
      <c r="X4" s="50">
        <f t="shared" si="0"/>
        <v>7929970.450000002</v>
      </c>
      <c r="Y4" s="50">
        <f t="shared" si="0"/>
        <v>8632627.5900000017</v>
      </c>
      <c r="Z4" s="50">
        <f t="shared" si="0"/>
        <v>9285528.3900000025</v>
      </c>
      <c r="AA4" s="50">
        <f t="shared" si="0"/>
        <v>10138646.090000002</v>
      </c>
      <c r="AB4" s="50">
        <f t="shared" si="0"/>
        <v>10955308.690000001</v>
      </c>
      <c r="AC4" s="50">
        <f t="shared" si="0"/>
        <v>11555039.250000002</v>
      </c>
      <c r="AD4" s="50">
        <f t="shared" si="0"/>
        <v>12072192.260000002</v>
      </c>
      <c r="AE4" s="50">
        <f t="shared" si="0"/>
        <v>12513043.930000002</v>
      </c>
      <c r="AF4" s="50">
        <f t="shared" si="0"/>
        <v>12787578.280000001</v>
      </c>
      <c r="AG4" s="50">
        <f t="shared" si="0"/>
        <v>12943818.300000001</v>
      </c>
      <c r="AH4" s="50">
        <f t="shared" si="0"/>
        <v>13059532.82</v>
      </c>
      <c r="AI4" s="50">
        <f t="shared" ref="AI4" si="1">+AH4+AI3</f>
        <v>13132880.220000001</v>
      </c>
      <c r="AJ4" s="50">
        <f t="shared" ref="AJ4" si="2">+AI4+AJ3</f>
        <v>13170793.520000001</v>
      </c>
      <c r="AK4" s="50">
        <f t="shared" ref="AK4:AL4" si="3">+AJ4+AK3</f>
        <v>13181485.740000002</v>
      </c>
      <c r="AL4" s="50">
        <f t="shared" si="3"/>
        <v>13184120.920000002</v>
      </c>
    </row>
    <row r="6" spans="1:38" x14ac:dyDescent="0.25">
      <c r="A6" t="s">
        <v>70</v>
      </c>
      <c r="B6" s="50">
        <v>0</v>
      </c>
      <c r="C6" s="214">
        <f>+AVANCES!H4</f>
        <v>9478.4149999999991</v>
      </c>
    </row>
    <row r="7" spans="1:38" x14ac:dyDescent="0.25">
      <c r="A7" t="s">
        <v>71</v>
      </c>
      <c r="B7" s="50">
        <v>0</v>
      </c>
      <c r="C7" s="50">
        <f>+B7+C6</f>
        <v>9478.4149999999991</v>
      </c>
    </row>
    <row r="8" spans="1:38" x14ac:dyDescent="0.25">
      <c r="B8" s="50"/>
    </row>
    <row r="10" spans="1:38" x14ac:dyDescent="0.25">
      <c r="A10" t="s">
        <v>84</v>
      </c>
      <c r="B10" s="50">
        <f>+AL4</f>
        <v>13184120.920000002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C56BA-DC43-4853-8FF3-1E06B67227A5}">
  <dimension ref="B1:AR12"/>
  <sheetViews>
    <sheetView workbookViewId="0">
      <selection activeCell="B18" sqref="B18"/>
    </sheetView>
  </sheetViews>
  <sheetFormatPr baseColWidth="10" defaultRowHeight="15" x14ac:dyDescent="0.25"/>
  <cols>
    <col min="1" max="1" width="1.7109375" customWidth="1"/>
    <col min="2" max="2" width="26.5703125" bestFit="1" customWidth="1"/>
    <col min="3" max="3" width="14.85546875" customWidth="1"/>
    <col min="4" max="4" width="2.85546875" customWidth="1"/>
    <col min="5" max="41" width="14" customWidth="1"/>
    <col min="43" max="43" width="13.7109375" bestFit="1" customWidth="1"/>
  </cols>
  <sheetData>
    <row r="1" spans="2:44" x14ac:dyDescent="0.25">
      <c r="E1" s="52" t="s">
        <v>72</v>
      </c>
      <c r="F1" s="52" t="s">
        <v>94</v>
      </c>
      <c r="G1" s="52" t="s">
        <v>95</v>
      </c>
      <c r="H1" s="52" t="s">
        <v>96</v>
      </c>
      <c r="I1" s="52" t="s">
        <v>97</v>
      </c>
      <c r="J1" s="52" t="s">
        <v>98</v>
      </c>
      <c r="K1" s="52" t="s">
        <v>99</v>
      </c>
      <c r="L1" s="52" t="s">
        <v>100</v>
      </c>
      <c r="M1" s="52" t="s">
        <v>101</v>
      </c>
      <c r="N1" s="52" t="s">
        <v>102</v>
      </c>
      <c r="O1" s="52" t="s">
        <v>20</v>
      </c>
      <c r="P1" s="52" t="s">
        <v>21</v>
      </c>
      <c r="Q1" s="52" t="s">
        <v>22</v>
      </c>
      <c r="R1" s="52" t="s">
        <v>23</v>
      </c>
      <c r="S1" s="52" t="s">
        <v>24</v>
      </c>
      <c r="T1" s="52" t="s">
        <v>25</v>
      </c>
      <c r="U1" s="52" t="s">
        <v>26</v>
      </c>
      <c r="V1" s="52" t="s">
        <v>27</v>
      </c>
      <c r="W1" s="52" t="s">
        <v>28</v>
      </c>
      <c r="X1" s="52" t="s">
        <v>29</v>
      </c>
      <c r="Y1" s="52" t="s">
        <v>30</v>
      </c>
      <c r="Z1" s="52" t="s">
        <v>31</v>
      </c>
      <c r="AA1" s="52" t="s">
        <v>32</v>
      </c>
      <c r="AB1" s="52" t="s">
        <v>33</v>
      </c>
      <c r="AC1" s="52" t="s">
        <v>34</v>
      </c>
      <c r="AD1" s="52" t="s">
        <v>35</v>
      </c>
      <c r="AE1" s="52" t="s">
        <v>36</v>
      </c>
      <c r="AF1" s="52" t="s">
        <v>37</v>
      </c>
      <c r="AG1" s="52" t="s">
        <v>38</v>
      </c>
      <c r="AH1" s="52" t="s">
        <v>39</v>
      </c>
      <c r="AI1" s="52" t="s">
        <v>40</v>
      </c>
      <c r="AJ1" s="52" t="s">
        <v>41</v>
      </c>
      <c r="AK1" s="52" t="s">
        <v>42</v>
      </c>
      <c r="AL1" s="52" t="s">
        <v>43</v>
      </c>
      <c r="AM1" s="52" t="s">
        <v>44</v>
      </c>
      <c r="AN1" s="52" t="s">
        <v>45</v>
      </c>
      <c r="AO1" s="52" t="s">
        <v>46</v>
      </c>
      <c r="AP1" s="52" t="s">
        <v>47</v>
      </c>
    </row>
    <row r="2" spans="2:44" x14ac:dyDescent="0.25">
      <c r="B2" t="s">
        <v>87</v>
      </c>
      <c r="C2" s="50">
        <f>SUM(C4:C9)</f>
        <v>13184120.84</v>
      </c>
    </row>
    <row r="3" spans="2:44" x14ac:dyDescent="0.25">
      <c r="C3" s="50"/>
    </row>
    <row r="4" spans="2:44" x14ac:dyDescent="0.25">
      <c r="B4" t="s">
        <v>88</v>
      </c>
      <c r="C4" s="50">
        <v>1720903.22</v>
      </c>
      <c r="E4" s="50">
        <v>0</v>
      </c>
      <c r="F4" s="50">
        <v>8251.84</v>
      </c>
      <c r="G4" s="50">
        <v>37334.74</v>
      </c>
      <c r="H4" s="50">
        <v>66635.44</v>
      </c>
      <c r="I4" s="50">
        <v>60931.72</v>
      </c>
      <c r="J4" s="50">
        <v>64593.21</v>
      </c>
      <c r="K4" s="50">
        <v>27002.16</v>
      </c>
      <c r="L4" s="50">
        <v>50686.06</v>
      </c>
      <c r="M4" s="50">
        <v>37793.25</v>
      </c>
      <c r="N4" s="50">
        <v>42834.2</v>
      </c>
      <c r="O4" s="50">
        <v>116560.78</v>
      </c>
      <c r="P4" s="50">
        <v>64034.61</v>
      </c>
      <c r="Q4" s="50">
        <v>53063.839999999997</v>
      </c>
      <c r="R4" s="50">
        <v>23474.3</v>
      </c>
      <c r="S4" s="50">
        <v>48531.63</v>
      </c>
      <c r="T4" s="50">
        <v>15999.58</v>
      </c>
      <c r="U4" s="50">
        <v>26238.06</v>
      </c>
      <c r="V4" s="50">
        <v>22787.18</v>
      </c>
      <c r="W4" s="50">
        <v>58840.62</v>
      </c>
      <c r="X4" s="50">
        <v>99428.82</v>
      </c>
      <c r="Y4" s="50">
        <v>135357.95000000001</v>
      </c>
      <c r="Z4" s="50">
        <v>101204.73</v>
      </c>
      <c r="AA4" s="50">
        <v>67867.929999999993</v>
      </c>
      <c r="AB4" s="50">
        <v>68840.479999999996</v>
      </c>
      <c r="AC4" s="50">
        <v>80052.53</v>
      </c>
      <c r="AD4" s="50">
        <v>118153.51</v>
      </c>
      <c r="AE4" s="50">
        <v>97608.25</v>
      </c>
      <c r="AF4" s="50">
        <v>64785.82</v>
      </c>
      <c r="AG4" s="50">
        <v>23316.28</v>
      </c>
      <c r="AH4" s="50">
        <v>14384</v>
      </c>
      <c r="AI4" s="50">
        <v>19370.3</v>
      </c>
      <c r="AJ4" s="50">
        <v>3224.24</v>
      </c>
      <c r="AK4" s="50">
        <v>1715.18</v>
      </c>
      <c r="AQ4" s="50">
        <f>SUM(F4:AP4)</f>
        <v>1720903.24</v>
      </c>
      <c r="AR4" s="50">
        <f>+AQ4-C4</f>
        <v>2.0000000018626451E-2</v>
      </c>
    </row>
    <row r="5" spans="2:44" x14ac:dyDescent="0.25">
      <c r="B5" t="s">
        <v>89</v>
      </c>
      <c r="C5" s="50">
        <v>2435578.6</v>
      </c>
      <c r="G5" s="50">
        <v>9628.3700000000008</v>
      </c>
      <c r="H5" s="50">
        <v>25820.75</v>
      </c>
      <c r="I5" s="50">
        <v>86931.520000000004</v>
      </c>
      <c r="J5" s="50">
        <v>89679.73</v>
      </c>
      <c r="K5" s="50">
        <v>94650.48</v>
      </c>
      <c r="L5" s="50">
        <v>46341.67</v>
      </c>
      <c r="M5" s="50">
        <v>48123.63</v>
      </c>
      <c r="N5" s="50">
        <v>94407.46</v>
      </c>
      <c r="O5" s="50">
        <v>74836.429999999993</v>
      </c>
      <c r="P5" s="50">
        <v>101898.07</v>
      </c>
      <c r="Q5" s="50">
        <v>98119.25</v>
      </c>
      <c r="R5" s="50">
        <v>60274.67</v>
      </c>
      <c r="S5" s="50">
        <v>42252.76</v>
      </c>
      <c r="T5" s="50">
        <v>52038.49</v>
      </c>
      <c r="U5" s="50">
        <v>45388.66</v>
      </c>
      <c r="V5" s="50">
        <v>34966.800000000003</v>
      </c>
      <c r="W5" s="50">
        <v>22855.99</v>
      </c>
      <c r="X5" s="50">
        <v>52455.88</v>
      </c>
      <c r="Y5" s="50">
        <v>119878.15</v>
      </c>
      <c r="Z5" s="50">
        <v>186416.32</v>
      </c>
      <c r="AA5" s="50">
        <v>163532.13</v>
      </c>
      <c r="AB5" s="50">
        <v>103661.79</v>
      </c>
      <c r="AC5" s="50">
        <v>115083.37</v>
      </c>
      <c r="AD5" s="50">
        <v>201796.36</v>
      </c>
      <c r="AE5" s="50">
        <v>123796.85</v>
      </c>
      <c r="AF5" s="50">
        <v>109255.28</v>
      </c>
      <c r="AG5" s="50">
        <v>97636.82</v>
      </c>
      <c r="AH5" s="50">
        <v>56520.26</v>
      </c>
      <c r="AI5" s="50">
        <v>22257.64</v>
      </c>
      <c r="AJ5" s="50">
        <v>21857.34</v>
      </c>
      <c r="AK5" s="50">
        <v>23484.19</v>
      </c>
      <c r="AL5" s="50">
        <v>5997.51</v>
      </c>
      <c r="AM5" s="50">
        <v>3273.99</v>
      </c>
      <c r="AN5" s="50">
        <v>460</v>
      </c>
      <c r="AQ5" s="50">
        <f>SUM(F5:AP5)</f>
        <v>2435578.6099999994</v>
      </c>
      <c r="AR5" s="50">
        <f>+AQ5-C5</f>
        <v>9.9999993108212948E-3</v>
      </c>
    </row>
    <row r="6" spans="2:44" x14ac:dyDescent="0.25">
      <c r="B6" t="s">
        <v>90</v>
      </c>
      <c r="C6" s="50">
        <v>2435578.6</v>
      </c>
      <c r="H6" s="50">
        <v>9628.3700000000008</v>
      </c>
      <c r="I6" s="50">
        <v>25820.75</v>
      </c>
      <c r="J6" s="50">
        <v>86931.520000000004</v>
      </c>
      <c r="K6" s="50">
        <v>89679.73</v>
      </c>
      <c r="L6" s="50">
        <v>94650.48</v>
      </c>
      <c r="M6" s="50">
        <v>46341.67</v>
      </c>
      <c r="N6" s="50">
        <v>48123.63</v>
      </c>
      <c r="O6" s="50">
        <v>94407.46</v>
      </c>
      <c r="P6" s="50">
        <v>74836.429999999993</v>
      </c>
      <c r="Q6" s="50">
        <v>101898.07</v>
      </c>
      <c r="R6" s="50">
        <v>98119.25</v>
      </c>
      <c r="S6" s="50">
        <v>60274.67</v>
      </c>
      <c r="T6" s="50">
        <v>42252.76</v>
      </c>
      <c r="U6" s="50">
        <v>52038.49</v>
      </c>
      <c r="V6" s="50">
        <v>45388.66</v>
      </c>
      <c r="W6" s="50">
        <v>34966.800000000003</v>
      </c>
      <c r="X6" s="50">
        <v>22855.99</v>
      </c>
      <c r="Y6" s="50">
        <v>52455.88</v>
      </c>
      <c r="Z6" s="50">
        <v>119878.15</v>
      </c>
      <c r="AA6" s="50">
        <v>186416.32</v>
      </c>
      <c r="AB6" s="50">
        <v>163532.13</v>
      </c>
      <c r="AC6" s="50">
        <v>103661.79</v>
      </c>
      <c r="AD6" s="50">
        <v>115083.37</v>
      </c>
      <c r="AE6" s="50">
        <v>201796.36</v>
      </c>
      <c r="AF6" s="50">
        <v>123796.85</v>
      </c>
      <c r="AG6" s="50">
        <v>109255.28</v>
      </c>
      <c r="AH6" s="50">
        <v>97636.82</v>
      </c>
      <c r="AI6" s="50">
        <v>56520.26</v>
      </c>
      <c r="AJ6" s="50">
        <v>22257.64</v>
      </c>
      <c r="AK6" s="50">
        <v>21857.34</v>
      </c>
      <c r="AL6" s="50">
        <v>23484.19</v>
      </c>
      <c r="AM6" s="50">
        <v>5997.51</v>
      </c>
      <c r="AN6" s="50">
        <v>3273.99</v>
      </c>
      <c r="AO6" s="50">
        <v>460</v>
      </c>
      <c r="AQ6" s="50">
        <f>SUM(F6:AP6)</f>
        <v>2435578.6099999994</v>
      </c>
      <c r="AR6" s="50">
        <f>+AQ6-C6</f>
        <v>9.9999993108212948E-3</v>
      </c>
    </row>
    <row r="7" spans="2:44" x14ac:dyDescent="0.25">
      <c r="B7" t="s">
        <v>91</v>
      </c>
      <c r="C7" s="50">
        <v>2435578.6</v>
      </c>
      <c r="G7" s="50">
        <v>9628.3700000000008</v>
      </c>
      <c r="H7" s="50">
        <v>25820.75</v>
      </c>
      <c r="I7" s="50">
        <v>86931.520000000004</v>
      </c>
      <c r="J7" s="50">
        <v>89679.73</v>
      </c>
      <c r="K7" s="50">
        <v>94650.48</v>
      </c>
      <c r="L7" s="50">
        <v>46341.67</v>
      </c>
      <c r="M7" s="50">
        <v>48123.63</v>
      </c>
      <c r="N7" s="50">
        <v>94407.46</v>
      </c>
      <c r="O7" s="50">
        <v>74836.429999999993</v>
      </c>
      <c r="P7" s="50">
        <v>101898.07</v>
      </c>
      <c r="Q7" s="50">
        <v>98119.25</v>
      </c>
      <c r="R7" s="50">
        <v>60274.67</v>
      </c>
      <c r="S7" s="50">
        <v>42252.76</v>
      </c>
      <c r="T7" s="50">
        <v>52038.49</v>
      </c>
      <c r="U7" s="50">
        <v>45388.66</v>
      </c>
      <c r="V7" s="50">
        <v>34966.800000000003</v>
      </c>
      <c r="W7" s="50">
        <v>22855.99</v>
      </c>
      <c r="X7" s="50">
        <v>52455.88</v>
      </c>
      <c r="Y7" s="50">
        <v>119878.15</v>
      </c>
      <c r="Z7" s="50">
        <v>186416.32</v>
      </c>
      <c r="AA7" s="50">
        <v>163532.13</v>
      </c>
      <c r="AB7" s="50">
        <v>103661.79</v>
      </c>
      <c r="AC7" s="50">
        <v>115083.37</v>
      </c>
      <c r="AD7" s="50">
        <v>201796.36</v>
      </c>
      <c r="AE7" s="50">
        <v>123796.85</v>
      </c>
      <c r="AF7" s="50">
        <v>109255.28</v>
      </c>
      <c r="AG7" s="50">
        <v>97636.82</v>
      </c>
      <c r="AH7" s="50">
        <v>56520.26</v>
      </c>
      <c r="AI7" s="50">
        <v>22257.64</v>
      </c>
      <c r="AJ7" s="50">
        <v>21857.34</v>
      </c>
      <c r="AK7" s="50">
        <v>23484.19</v>
      </c>
      <c r="AL7" s="50">
        <v>5997.51</v>
      </c>
      <c r="AM7" s="50">
        <v>3273.99</v>
      </c>
      <c r="AN7" s="50">
        <v>460</v>
      </c>
      <c r="AQ7" s="50">
        <f>SUM(F7:AP7)</f>
        <v>2435578.6099999994</v>
      </c>
      <c r="AR7" s="50">
        <f>+AQ7-C7</f>
        <v>9.9999993108212948E-3</v>
      </c>
    </row>
    <row r="8" spans="2:44" x14ac:dyDescent="0.25">
      <c r="B8" t="s">
        <v>92</v>
      </c>
      <c r="C8" s="50">
        <v>2435578.6</v>
      </c>
      <c r="H8" s="50">
        <v>9628.3700000000008</v>
      </c>
      <c r="I8" s="50">
        <v>25820.75</v>
      </c>
      <c r="J8" s="50">
        <v>86931.520000000004</v>
      </c>
      <c r="K8" s="50">
        <v>89679.73</v>
      </c>
      <c r="L8" s="50">
        <v>94650.48</v>
      </c>
      <c r="M8" s="50">
        <v>46341.67</v>
      </c>
      <c r="N8" s="50">
        <v>48123.63</v>
      </c>
      <c r="O8" s="50">
        <v>94407.46</v>
      </c>
      <c r="P8" s="50">
        <v>74836.429999999993</v>
      </c>
      <c r="Q8" s="50">
        <v>101898.07</v>
      </c>
      <c r="R8" s="50">
        <v>98119.25</v>
      </c>
      <c r="S8" s="50">
        <v>60274.67</v>
      </c>
      <c r="T8" s="50">
        <v>42252.76</v>
      </c>
      <c r="U8" s="50">
        <v>52038.49</v>
      </c>
      <c r="V8" s="50">
        <v>45388.66</v>
      </c>
      <c r="W8" s="50">
        <v>34966.800000000003</v>
      </c>
      <c r="X8" s="50">
        <v>22855.99</v>
      </c>
      <c r="Y8" s="50">
        <v>52455.88</v>
      </c>
      <c r="Z8" s="50">
        <v>119878.15</v>
      </c>
      <c r="AA8" s="50">
        <v>186416.32</v>
      </c>
      <c r="AB8" s="50">
        <v>163532.13</v>
      </c>
      <c r="AC8" s="50">
        <v>103661.79</v>
      </c>
      <c r="AD8" s="50">
        <v>115083.37</v>
      </c>
      <c r="AE8" s="50">
        <v>201796.36</v>
      </c>
      <c r="AF8" s="50">
        <v>123796.85</v>
      </c>
      <c r="AG8" s="50">
        <v>109255.28</v>
      </c>
      <c r="AH8" s="50">
        <v>97636.82</v>
      </c>
      <c r="AI8" s="50">
        <v>56520.26</v>
      </c>
      <c r="AJ8" s="50">
        <v>22257.64</v>
      </c>
      <c r="AK8" s="50">
        <v>21857.34</v>
      </c>
      <c r="AL8" s="50">
        <v>23484.19</v>
      </c>
      <c r="AM8" s="50">
        <v>5997.51</v>
      </c>
      <c r="AN8" s="50">
        <v>3273.99</v>
      </c>
      <c r="AO8" s="50">
        <v>460</v>
      </c>
      <c r="AQ8" s="50">
        <f>SUM(F8:AP8)</f>
        <v>2435578.6099999994</v>
      </c>
      <c r="AR8" s="50">
        <f>+AQ8-C8</f>
        <v>9.9999993108212948E-3</v>
      </c>
    </row>
    <row r="9" spans="2:44" x14ac:dyDescent="0.25">
      <c r="B9" t="s">
        <v>93</v>
      </c>
      <c r="C9" s="50">
        <v>1720903.22</v>
      </c>
      <c r="J9" s="50">
        <v>8251.84</v>
      </c>
      <c r="K9" s="50">
        <v>37334.74</v>
      </c>
      <c r="L9" s="50">
        <v>66635.44</v>
      </c>
      <c r="M9" s="50">
        <v>60931.72</v>
      </c>
      <c r="N9" s="50">
        <v>64593.21</v>
      </c>
      <c r="O9" s="50">
        <v>27002.16</v>
      </c>
      <c r="P9" s="50">
        <v>50686.06</v>
      </c>
      <c r="Q9" s="50">
        <v>37793.25</v>
      </c>
      <c r="R9" s="50">
        <v>42834.2</v>
      </c>
      <c r="S9" s="50">
        <v>116560.78</v>
      </c>
      <c r="T9" s="50">
        <v>64034.61</v>
      </c>
      <c r="U9" s="50">
        <v>53063.839999999997</v>
      </c>
      <c r="V9" s="50">
        <v>23474.3</v>
      </c>
      <c r="W9" s="50">
        <v>48531.63</v>
      </c>
      <c r="X9" s="50">
        <v>15999.58</v>
      </c>
      <c r="Y9" s="50">
        <v>26238.06</v>
      </c>
      <c r="Z9" s="50">
        <v>22787.18</v>
      </c>
      <c r="AA9" s="50">
        <v>58840.62</v>
      </c>
      <c r="AB9" s="50">
        <v>99428.82</v>
      </c>
      <c r="AC9" s="50">
        <v>135357.95000000001</v>
      </c>
      <c r="AD9" s="50">
        <v>101204.73</v>
      </c>
      <c r="AE9" s="50">
        <v>67867.929999999993</v>
      </c>
      <c r="AF9" s="50">
        <v>68840.479999999996</v>
      </c>
      <c r="AG9" s="50">
        <v>80052.53</v>
      </c>
      <c r="AH9" s="50">
        <v>118153.51</v>
      </c>
      <c r="AI9" s="50">
        <v>97608.25</v>
      </c>
      <c r="AJ9" s="50">
        <v>64785.82</v>
      </c>
      <c r="AK9" s="50">
        <v>23316.28</v>
      </c>
      <c r="AL9" s="50">
        <v>14384</v>
      </c>
      <c r="AM9" s="50">
        <v>19370.3</v>
      </c>
      <c r="AN9" s="50">
        <v>3224.24</v>
      </c>
      <c r="AO9" s="50">
        <v>1715.18</v>
      </c>
      <c r="AQ9" s="50">
        <f>SUM(F9:AP9)</f>
        <v>1720903.24</v>
      </c>
      <c r="AR9" s="50">
        <f>+AQ9-C9</f>
        <v>2.0000000018626451E-2</v>
      </c>
    </row>
    <row r="11" spans="2:44" x14ac:dyDescent="0.25">
      <c r="E11" s="190">
        <f>SUM(E4:E10)</f>
        <v>0</v>
      </c>
      <c r="F11" s="190">
        <f>SUM(F4:F10)</f>
        <v>8251.84</v>
      </c>
      <c r="G11" s="190">
        <f t="shared" ref="G11:AO11" si="0">SUM(G4:G10)</f>
        <v>56591.48</v>
      </c>
      <c r="H11" s="190">
        <f t="shared" si="0"/>
        <v>137533.68</v>
      </c>
      <c r="I11" s="190">
        <f t="shared" si="0"/>
        <v>286436.26</v>
      </c>
      <c r="J11" s="190">
        <f t="shared" si="0"/>
        <v>426067.55000000005</v>
      </c>
      <c r="K11" s="190">
        <f t="shared" si="0"/>
        <v>432997.31999999995</v>
      </c>
      <c r="L11" s="190">
        <f t="shared" si="0"/>
        <v>399305.8</v>
      </c>
      <c r="M11" s="190">
        <f t="shared" si="0"/>
        <v>287655.56999999995</v>
      </c>
      <c r="N11" s="190">
        <f t="shared" si="0"/>
        <v>392489.59</v>
      </c>
      <c r="O11" s="190">
        <f t="shared" si="0"/>
        <v>482050.72</v>
      </c>
      <c r="P11" s="190">
        <f t="shared" si="0"/>
        <v>468189.67</v>
      </c>
      <c r="Q11" s="190">
        <f t="shared" si="0"/>
        <v>490891.73000000004</v>
      </c>
      <c r="R11" s="190">
        <f t="shared" si="0"/>
        <v>383096.34</v>
      </c>
      <c r="S11" s="190">
        <f t="shared" si="0"/>
        <v>370147.27</v>
      </c>
      <c r="T11" s="190">
        <f t="shared" si="0"/>
        <v>268616.69</v>
      </c>
      <c r="U11" s="190">
        <f t="shared" si="0"/>
        <v>274156.19999999995</v>
      </c>
      <c r="V11" s="190">
        <f t="shared" si="0"/>
        <v>206972.4</v>
      </c>
      <c r="W11" s="190">
        <f t="shared" si="0"/>
        <v>223017.83000000002</v>
      </c>
      <c r="X11" s="190">
        <f t="shared" si="0"/>
        <v>266052.14</v>
      </c>
      <c r="Y11" s="190">
        <f t="shared" si="0"/>
        <v>506264.07</v>
      </c>
      <c r="Z11" s="190">
        <f t="shared" si="0"/>
        <v>736580.85000000009</v>
      </c>
      <c r="AA11" s="190">
        <f t="shared" si="0"/>
        <v>826605.45000000007</v>
      </c>
      <c r="AB11" s="190">
        <f t="shared" si="0"/>
        <v>702657.14000000013</v>
      </c>
      <c r="AC11" s="190">
        <f t="shared" si="0"/>
        <v>652900.80000000005</v>
      </c>
      <c r="AD11" s="190">
        <f t="shared" si="0"/>
        <v>853117.7</v>
      </c>
      <c r="AE11" s="190">
        <f t="shared" si="0"/>
        <v>816662.59999999986</v>
      </c>
      <c r="AF11" s="190">
        <f t="shared" si="0"/>
        <v>599730.55999999994</v>
      </c>
      <c r="AG11" s="190">
        <f t="shared" si="0"/>
        <v>517153.01</v>
      </c>
      <c r="AH11" s="190">
        <f t="shared" si="0"/>
        <v>440851.67000000004</v>
      </c>
      <c r="AI11" s="190">
        <f t="shared" si="0"/>
        <v>274534.34999999998</v>
      </c>
      <c r="AJ11" s="190">
        <f t="shared" si="0"/>
        <v>156240.01999999999</v>
      </c>
      <c r="AK11" s="190">
        <f t="shared" si="0"/>
        <v>115714.51999999999</v>
      </c>
      <c r="AL11" s="190">
        <f t="shared" si="0"/>
        <v>73347.399999999994</v>
      </c>
      <c r="AM11" s="190">
        <f t="shared" si="0"/>
        <v>37913.300000000003</v>
      </c>
      <c r="AN11" s="190">
        <f t="shared" si="0"/>
        <v>10692.22</v>
      </c>
      <c r="AO11" s="190">
        <f t="shared" si="0"/>
        <v>2635.1800000000003</v>
      </c>
    </row>
    <row r="12" spans="2:44" x14ac:dyDescent="0.25">
      <c r="E12" s="190">
        <f>+E11</f>
        <v>0</v>
      </c>
      <c r="F12" s="190">
        <f>+E12+F11</f>
        <v>8251.84</v>
      </c>
      <c r="G12" s="190">
        <f t="shared" ref="G12:AO12" si="1">+F12+G11</f>
        <v>64843.320000000007</v>
      </c>
      <c r="H12" s="190">
        <f t="shared" si="1"/>
        <v>202377</v>
      </c>
      <c r="I12" s="190">
        <f t="shared" si="1"/>
        <v>488813.26</v>
      </c>
      <c r="J12" s="190">
        <f t="shared" si="1"/>
        <v>914880.81</v>
      </c>
      <c r="K12" s="190">
        <f t="shared" si="1"/>
        <v>1347878.13</v>
      </c>
      <c r="L12" s="190">
        <f t="shared" si="1"/>
        <v>1747183.93</v>
      </c>
      <c r="M12" s="190">
        <f t="shared" si="1"/>
        <v>2034839.5</v>
      </c>
      <c r="N12" s="190">
        <f t="shared" si="1"/>
        <v>2427329.09</v>
      </c>
      <c r="O12" s="190">
        <f t="shared" si="1"/>
        <v>2909379.8099999996</v>
      </c>
      <c r="P12" s="190">
        <f t="shared" si="1"/>
        <v>3377569.4799999995</v>
      </c>
      <c r="Q12" s="190">
        <f t="shared" si="1"/>
        <v>3868461.2099999995</v>
      </c>
      <c r="R12" s="190">
        <f t="shared" si="1"/>
        <v>4251557.55</v>
      </c>
      <c r="S12" s="190">
        <f t="shared" si="1"/>
        <v>4621704.82</v>
      </c>
      <c r="T12" s="190">
        <f t="shared" si="1"/>
        <v>4890321.5100000007</v>
      </c>
      <c r="U12" s="190">
        <f t="shared" si="1"/>
        <v>5164477.7100000009</v>
      </c>
      <c r="V12" s="190">
        <f t="shared" si="1"/>
        <v>5371450.1100000013</v>
      </c>
      <c r="W12" s="190">
        <f t="shared" si="1"/>
        <v>5594467.9400000013</v>
      </c>
      <c r="X12" s="190">
        <f t="shared" si="1"/>
        <v>5860520.080000001</v>
      </c>
      <c r="Y12" s="190">
        <f t="shared" si="1"/>
        <v>6366784.1500000013</v>
      </c>
      <c r="Z12" s="190">
        <f t="shared" si="1"/>
        <v>7103365.0000000019</v>
      </c>
      <c r="AA12" s="190">
        <f t="shared" si="1"/>
        <v>7929970.450000002</v>
      </c>
      <c r="AB12" s="190">
        <f t="shared" si="1"/>
        <v>8632627.5900000017</v>
      </c>
      <c r="AC12" s="190">
        <f t="shared" si="1"/>
        <v>9285528.3900000025</v>
      </c>
      <c r="AD12" s="190">
        <f t="shared" si="1"/>
        <v>10138646.090000002</v>
      </c>
      <c r="AE12" s="190">
        <f t="shared" si="1"/>
        <v>10955308.690000001</v>
      </c>
      <c r="AF12" s="190">
        <f t="shared" si="1"/>
        <v>11555039.250000002</v>
      </c>
      <c r="AG12" s="190">
        <f t="shared" si="1"/>
        <v>12072192.260000002</v>
      </c>
      <c r="AH12" s="190">
        <f t="shared" si="1"/>
        <v>12513043.930000002</v>
      </c>
      <c r="AI12" s="190">
        <f t="shared" si="1"/>
        <v>12787578.280000001</v>
      </c>
      <c r="AJ12" s="190">
        <f t="shared" si="1"/>
        <v>12943818.300000001</v>
      </c>
      <c r="AK12" s="190">
        <f t="shared" si="1"/>
        <v>13059532.82</v>
      </c>
      <c r="AL12" s="190">
        <f t="shared" si="1"/>
        <v>13132880.220000001</v>
      </c>
      <c r="AM12" s="190">
        <f t="shared" si="1"/>
        <v>13170793.520000001</v>
      </c>
      <c r="AN12" s="190">
        <f t="shared" si="1"/>
        <v>13181485.740000002</v>
      </c>
      <c r="AO12" s="190">
        <f t="shared" si="1"/>
        <v>13184120.920000002</v>
      </c>
      <c r="AQ12" s="190">
        <f>SUM(AQ4:AQ11)</f>
        <v>13184120.919999998</v>
      </c>
      <c r="AR12" s="50">
        <f>+AO12-AQ12</f>
        <v>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REPORTE</vt:lpstr>
      <vt:lpstr>AVANCES</vt:lpstr>
      <vt:lpstr>CURVA S BASE</vt:lpstr>
      <vt:lpstr>FLUJOS</vt:lpstr>
      <vt:lpstr>REPORTE!Área_de_impresión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Erniquez</dc:creator>
  <cp:lastModifiedBy>Jorge Erniquez</cp:lastModifiedBy>
  <cp:lastPrinted>2026-05-15T19:58:18Z</cp:lastPrinted>
  <dcterms:created xsi:type="dcterms:W3CDTF">2025-05-12T04:20:20Z</dcterms:created>
  <dcterms:modified xsi:type="dcterms:W3CDTF">2026-05-15T19:58:47Z</dcterms:modified>
</cp:coreProperties>
</file>