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11/"/>
    </mc:Choice>
  </mc:AlternateContent>
  <xr:revisionPtr revIDLastSave="17997" documentId="8_{C21C73ED-31DF-4D56-8E26-DF18C4F6C866}" xr6:coauthVersionLast="47" xr6:coauthVersionMax="47" xr10:uidLastSave="{118A72AE-030D-4BDC-9CB0-890A0FF63899}"/>
  <bookViews>
    <workbookView xWindow="-105" yWindow="0" windowWidth="14610" windowHeight="15585" xr2:uid="{C43E5813-81DF-4711-814F-F72BD395C9AB}"/>
  </bookViews>
  <sheets>
    <sheet name="REPORTE" sheetId="1" r:id="rId1"/>
    <sheet name="AVANCES" sheetId="13" r:id="rId2"/>
    <sheet name="CURVA S BASE" sheetId="11" r:id="rId3"/>
    <sheet name="Hoja1" sheetId="14" r:id="rId4"/>
  </sheets>
  <definedNames>
    <definedName name="_xlnm.Print_Area" localSheetId="0">REPORTE!$A$1:$N$553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1" l="1"/>
  <c r="W6" i="11"/>
  <c r="AK6" i="11"/>
  <c r="AJ6" i="11"/>
  <c r="T6" i="11"/>
  <c r="AL6" i="11"/>
  <c r="U6" i="11"/>
  <c r="V6" i="11"/>
  <c r="R6" i="11"/>
  <c r="S6" i="11"/>
  <c r="C13" i="11"/>
  <c r="D13" i="11"/>
  <c r="E13" i="11"/>
  <c r="F13" i="11"/>
  <c r="G13" i="11"/>
  <c r="H13" i="11"/>
  <c r="K4" i="11"/>
  <c r="J4" i="11"/>
  <c r="J1465" i="13"/>
  <c r="J1464" i="13"/>
  <c r="J1462" i="13"/>
  <c r="H1191" i="13"/>
  <c r="H1190" i="13"/>
  <c r="H1189" i="13"/>
  <c r="H1188" i="13"/>
  <c r="H1187" i="13"/>
  <c r="H118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G10" i="11"/>
  <c r="F10" i="11"/>
  <c r="I17" i="14"/>
  <c r="I18" i="14"/>
  <c r="I19" i="14"/>
  <c r="I20" i="14"/>
  <c r="I21" i="14"/>
  <c r="I22" i="14"/>
  <c r="I23" i="14"/>
  <c r="I16" i="14"/>
  <c r="H1165" i="13"/>
  <c r="G1165" i="13"/>
  <c r="H1164" i="13"/>
  <c r="G116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H10" i="13"/>
  <c r="G10" i="13"/>
  <c r="H8" i="13"/>
  <c r="H7" i="13" s="1"/>
  <c r="G8" i="13"/>
  <c r="G7" i="13" s="1"/>
  <c r="B42" i="1"/>
  <c r="B44" i="1"/>
  <c r="B43" i="1"/>
  <c r="B45" i="1"/>
  <c r="B46" i="1"/>
  <c r="B47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G82" i="13" s="1"/>
  <c r="E82" i="13" s="1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H54" i="13" s="1"/>
  <c r="G55" i="13"/>
  <c r="G54" i="13" s="1"/>
  <c r="E54" i="13" s="1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H635" i="13" s="1"/>
  <c r="G636" i="13"/>
  <c r="G635" i="13" s="1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H609" i="13" s="1"/>
  <c r="F609" i="13" s="1"/>
  <c r="G610" i="13"/>
  <c r="G609" i="13" s="1"/>
  <c r="E609" i="13" s="1"/>
  <c r="H608" i="13"/>
  <c r="H607" i="13" s="1"/>
  <c r="G608" i="13"/>
  <c r="G607" i="13" s="1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H335" i="13" s="1"/>
  <c r="F335" i="13" s="1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H309" i="13" s="1"/>
  <c r="F309" i="13" s="1"/>
  <c r="G310" i="13"/>
  <c r="G309" i="13" s="1"/>
  <c r="E309" i="13" s="1"/>
  <c r="H308" i="13"/>
  <c r="H307" i="13" s="1"/>
  <c r="G308" i="13"/>
  <c r="G307" i="13" s="1"/>
  <c r="E307" i="13" s="1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158" i="13"/>
  <c r="G1158" i="13"/>
  <c r="H1157" i="13"/>
  <c r="G1157" i="13"/>
  <c r="H1156" i="13"/>
  <c r="G1156" i="13"/>
  <c r="H1154" i="13"/>
  <c r="G1154" i="13"/>
  <c r="H1153" i="13"/>
  <c r="G1153" i="13"/>
  <c r="H1151" i="13"/>
  <c r="G1151" i="13"/>
  <c r="H1149" i="13"/>
  <c r="G1149" i="13"/>
  <c r="H1148" i="13"/>
  <c r="G1148" i="13"/>
  <c r="H1147" i="13"/>
  <c r="G1147" i="13"/>
  <c r="H1146" i="13"/>
  <c r="G1146" i="13"/>
  <c r="H1145" i="13"/>
  <c r="G1145" i="13"/>
  <c r="H1144" i="13"/>
  <c r="G1144" i="13"/>
  <c r="H1143" i="13"/>
  <c r="G1143" i="13"/>
  <c r="H1142" i="13"/>
  <c r="G1142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3" i="13"/>
  <c r="G1123" i="13"/>
  <c r="H1122" i="13"/>
  <c r="H1121" i="13" s="1"/>
  <c r="F1121" i="13" s="1"/>
  <c r="G1122" i="13"/>
  <c r="G1121" i="13" s="1"/>
  <c r="E1121" i="13" s="1"/>
  <c r="H1120" i="13"/>
  <c r="G1120" i="13"/>
  <c r="H1119" i="13"/>
  <c r="G1119" i="13"/>
  <c r="H1118" i="13"/>
  <c r="G1118" i="13"/>
  <c r="H1117" i="13"/>
  <c r="G1117" i="13"/>
  <c r="H1116" i="13"/>
  <c r="G1116" i="13"/>
  <c r="H1115" i="13"/>
  <c r="G1115" i="13"/>
  <c r="H1114" i="13"/>
  <c r="G1114" i="13"/>
  <c r="H1113" i="13"/>
  <c r="G1113" i="13"/>
  <c r="H1112" i="13"/>
  <c r="G1112" i="13"/>
  <c r="H1111" i="13"/>
  <c r="G1111" i="13"/>
  <c r="H1110" i="13"/>
  <c r="G1110" i="13"/>
  <c r="H1109" i="13"/>
  <c r="G1109" i="13"/>
  <c r="H1108" i="13"/>
  <c r="G1108" i="13"/>
  <c r="H1107" i="13"/>
  <c r="G1107" i="13"/>
  <c r="H1106" i="13"/>
  <c r="G1106" i="13"/>
  <c r="H1105" i="13"/>
  <c r="G1105" i="13"/>
  <c r="H1104" i="13"/>
  <c r="G1104" i="13"/>
  <c r="H1103" i="13"/>
  <c r="G1103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6" i="13"/>
  <c r="G1096" i="13"/>
  <c r="H1095" i="13"/>
  <c r="G1095" i="13"/>
  <c r="H1094" i="13"/>
  <c r="G1094" i="13"/>
  <c r="H1093" i="13"/>
  <c r="G1093" i="13"/>
  <c r="H1092" i="13"/>
  <c r="G1092" i="13"/>
  <c r="H1091" i="13"/>
  <c r="G1091" i="13"/>
  <c r="H1089" i="13"/>
  <c r="G1089" i="13"/>
  <c r="H1088" i="13"/>
  <c r="G1088" i="13"/>
  <c r="H1087" i="13"/>
  <c r="G1087" i="13"/>
  <c r="H1086" i="13"/>
  <c r="G1086" i="13"/>
  <c r="H1085" i="13"/>
  <c r="G1085" i="13"/>
  <c r="H1084" i="13"/>
  <c r="G1084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5" i="13"/>
  <c r="G1065" i="13"/>
  <c r="H1064" i="13"/>
  <c r="G1064" i="13"/>
  <c r="H1063" i="13"/>
  <c r="G1063" i="13"/>
  <c r="H1062" i="13"/>
  <c r="G1062" i="13"/>
  <c r="H1061" i="13"/>
  <c r="G1061" i="13"/>
  <c r="H1059" i="13"/>
  <c r="G1059" i="13"/>
  <c r="H1058" i="13"/>
  <c r="G1058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8" i="13"/>
  <c r="G1048" i="13"/>
  <c r="H1047" i="13"/>
  <c r="G1047" i="13"/>
  <c r="H1045" i="13"/>
  <c r="G1045" i="13"/>
  <c r="H1043" i="13"/>
  <c r="G1043" i="13"/>
  <c r="H1042" i="13"/>
  <c r="G1042" i="13"/>
  <c r="H1041" i="13"/>
  <c r="G1041" i="13"/>
  <c r="H1040" i="13"/>
  <c r="G1040" i="13"/>
  <c r="H1039" i="13"/>
  <c r="G1039" i="13"/>
  <c r="H1038" i="13"/>
  <c r="G1038" i="13"/>
  <c r="H1037" i="13"/>
  <c r="G1037" i="13"/>
  <c r="H1036" i="13"/>
  <c r="G1036" i="13"/>
  <c r="H1035" i="13"/>
  <c r="G1035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8" i="13"/>
  <c r="G1028" i="13"/>
  <c r="H1026" i="13"/>
  <c r="G1026" i="13"/>
  <c r="H1025" i="13"/>
  <c r="G1025" i="13"/>
  <c r="H1024" i="13"/>
  <c r="G1024" i="13"/>
  <c r="H1023" i="13"/>
  <c r="G1023" i="13"/>
  <c r="H1022" i="13"/>
  <c r="G1022" i="13"/>
  <c r="H1021" i="13"/>
  <c r="G1021" i="13"/>
  <c r="H1020" i="13"/>
  <c r="G1020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09" i="13"/>
  <c r="G1009" i="13"/>
  <c r="H1008" i="13"/>
  <c r="G1008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1" i="13"/>
  <c r="G1001" i="13"/>
  <c r="H1000" i="13"/>
  <c r="G1000" i="13"/>
  <c r="H999" i="13"/>
  <c r="G999" i="13"/>
  <c r="H998" i="13"/>
  <c r="G998" i="13"/>
  <c r="H997" i="13"/>
  <c r="G997" i="13"/>
  <c r="H996" i="13"/>
  <c r="G996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2" i="13"/>
  <c r="G982" i="13"/>
  <c r="H981" i="13"/>
  <c r="G981" i="13"/>
  <c r="H979" i="13"/>
  <c r="G979" i="13"/>
  <c r="H978" i="13"/>
  <c r="G978" i="13"/>
  <c r="H976" i="13"/>
  <c r="G976" i="13"/>
  <c r="H975" i="13"/>
  <c r="G975" i="13"/>
  <c r="H974" i="13"/>
  <c r="G974" i="13"/>
  <c r="H973" i="13"/>
  <c r="G973" i="13"/>
  <c r="H972" i="13"/>
  <c r="G972" i="13"/>
  <c r="H971" i="13"/>
  <c r="G971" i="13"/>
  <c r="H970" i="13"/>
  <c r="G970" i="13"/>
  <c r="H969" i="13"/>
  <c r="G969" i="13"/>
  <c r="H967" i="13"/>
  <c r="G967" i="13"/>
  <c r="H966" i="13"/>
  <c r="G966" i="13"/>
  <c r="H965" i="13"/>
  <c r="G965" i="13"/>
  <c r="H964" i="13"/>
  <c r="G964" i="13"/>
  <c r="H963" i="13"/>
  <c r="G963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8" i="13"/>
  <c r="G948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6" i="13"/>
  <c r="G936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10" i="13"/>
  <c r="G910" i="13"/>
  <c r="H908" i="13"/>
  <c r="G908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3" i="13"/>
  <c r="G893" i="13"/>
  <c r="H891" i="13"/>
  <c r="G891" i="13"/>
  <c r="H890" i="13"/>
  <c r="G890" i="13"/>
  <c r="H889" i="13"/>
  <c r="G889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H1458" i="13"/>
  <c r="G1458" i="13"/>
  <c r="H1457" i="13"/>
  <c r="G1457" i="13"/>
  <c r="H1456" i="13"/>
  <c r="G1456" i="13"/>
  <c r="H1454" i="13"/>
  <c r="G1454" i="13"/>
  <c r="H1453" i="13"/>
  <c r="G1453" i="13"/>
  <c r="H1451" i="13"/>
  <c r="G1451" i="13"/>
  <c r="H1449" i="13"/>
  <c r="G1449" i="13"/>
  <c r="H1448" i="13"/>
  <c r="G1448" i="13"/>
  <c r="H1447" i="13"/>
  <c r="G1447" i="13"/>
  <c r="H1446" i="13"/>
  <c r="G1446" i="13"/>
  <c r="H1445" i="13"/>
  <c r="G1445" i="13"/>
  <c r="H1444" i="13"/>
  <c r="G1444" i="13"/>
  <c r="H1443" i="13"/>
  <c r="G1443" i="13"/>
  <c r="H1442" i="13"/>
  <c r="G1442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3" i="13"/>
  <c r="G1423" i="13"/>
  <c r="H1422" i="13"/>
  <c r="G1422" i="13"/>
  <c r="G1421" i="13" s="1"/>
  <c r="E1421" i="13" s="1"/>
  <c r="H1420" i="13"/>
  <c r="G1420" i="13"/>
  <c r="H1419" i="13"/>
  <c r="G1419" i="13"/>
  <c r="H1418" i="13"/>
  <c r="G1418" i="13"/>
  <c r="H1417" i="13"/>
  <c r="G1417" i="13"/>
  <c r="H1416" i="13"/>
  <c r="G1416" i="13"/>
  <c r="H1415" i="13"/>
  <c r="G1415" i="13"/>
  <c r="H1414" i="13"/>
  <c r="G1414" i="13"/>
  <c r="H1413" i="13"/>
  <c r="G1413" i="13"/>
  <c r="H1412" i="13"/>
  <c r="G1412" i="13"/>
  <c r="H1411" i="13"/>
  <c r="G1411" i="13"/>
  <c r="H1410" i="13"/>
  <c r="G1410" i="13"/>
  <c r="H1409" i="13"/>
  <c r="G1409" i="13"/>
  <c r="H1408" i="13"/>
  <c r="G1408" i="13"/>
  <c r="H1407" i="13"/>
  <c r="G1407" i="13"/>
  <c r="H1406" i="13"/>
  <c r="G1406" i="13"/>
  <c r="H1405" i="13"/>
  <c r="G1405" i="13"/>
  <c r="H1404" i="13"/>
  <c r="G1404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5" i="13"/>
  <c r="G1395" i="13"/>
  <c r="H1394" i="13"/>
  <c r="G1394" i="13"/>
  <c r="H1393" i="13"/>
  <c r="G1393" i="13"/>
  <c r="H1392" i="13"/>
  <c r="G1392" i="13"/>
  <c r="H1391" i="13"/>
  <c r="G1391" i="13"/>
  <c r="H1389" i="13"/>
  <c r="G1389" i="13"/>
  <c r="H1388" i="13"/>
  <c r="G1388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8" i="13"/>
  <c r="G1378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5" i="13"/>
  <c r="G1365" i="13"/>
  <c r="H1364" i="13"/>
  <c r="G1364" i="13"/>
  <c r="H1363" i="13"/>
  <c r="G1363" i="13"/>
  <c r="H1362" i="13"/>
  <c r="G1362" i="13"/>
  <c r="H1361" i="13"/>
  <c r="G1361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8" i="13"/>
  <c r="G1348" i="13"/>
  <c r="H1347" i="13"/>
  <c r="G1347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9" i="13"/>
  <c r="G1329" i="13"/>
  <c r="H1328" i="13"/>
  <c r="G1328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20" i="13"/>
  <c r="G1320" i="13"/>
  <c r="H1318" i="13"/>
  <c r="G1318" i="13"/>
  <c r="H1317" i="13"/>
  <c r="G1317" i="13"/>
  <c r="H1316" i="13"/>
  <c r="G1316" i="13"/>
  <c r="H1315" i="13"/>
  <c r="G1315" i="13"/>
  <c r="H1314" i="13"/>
  <c r="G1314" i="13"/>
  <c r="H1313" i="13"/>
  <c r="G1313" i="13"/>
  <c r="H1312" i="13"/>
  <c r="G1312" i="13"/>
  <c r="H1311" i="13"/>
  <c r="G1311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3" i="13"/>
  <c r="G1303" i="13"/>
  <c r="H1302" i="13"/>
  <c r="G1302" i="13"/>
  <c r="H1301" i="13"/>
  <c r="G1301" i="13"/>
  <c r="H1300" i="13"/>
  <c r="G1300" i="13"/>
  <c r="H1299" i="13"/>
  <c r="G1299" i="13"/>
  <c r="H1298" i="13"/>
  <c r="G1298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2" i="13"/>
  <c r="G1282" i="13"/>
  <c r="H1281" i="13"/>
  <c r="G1281" i="13"/>
  <c r="H1279" i="13"/>
  <c r="G1279" i="13"/>
  <c r="H1278" i="13"/>
  <c r="G1278" i="13"/>
  <c r="H1276" i="13"/>
  <c r="G1276" i="13"/>
  <c r="H1275" i="13"/>
  <c r="G1275" i="13"/>
  <c r="H1274" i="13"/>
  <c r="G1274" i="13"/>
  <c r="H1273" i="13"/>
  <c r="G1273" i="13"/>
  <c r="H1272" i="13"/>
  <c r="G1272" i="13"/>
  <c r="H1271" i="13"/>
  <c r="G1271" i="13"/>
  <c r="H1270" i="13"/>
  <c r="G1270" i="13"/>
  <c r="H1269" i="13"/>
  <c r="G1269" i="13"/>
  <c r="H1267" i="13"/>
  <c r="G1267" i="13"/>
  <c r="H1266" i="13"/>
  <c r="G1266" i="13"/>
  <c r="H1265" i="13"/>
  <c r="G1265" i="13"/>
  <c r="H1264" i="13"/>
  <c r="G1264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7" i="13"/>
  <c r="G1237" i="13"/>
  <c r="H1236" i="13"/>
  <c r="G1236" i="13"/>
  <c r="H1234" i="13"/>
  <c r="G1234" i="13"/>
  <c r="H1233" i="13"/>
  <c r="G1233" i="13"/>
  <c r="H1232" i="13"/>
  <c r="G1232" i="13"/>
  <c r="H1231" i="13"/>
  <c r="G1231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2" i="13"/>
  <c r="G1222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8" i="13"/>
  <c r="G1208" i="13"/>
  <c r="H1206" i="13"/>
  <c r="G1206" i="13"/>
  <c r="H1205" i="13"/>
  <c r="G1205" i="13"/>
  <c r="H1204" i="13"/>
  <c r="G1204" i="13"/>
  <c r="H1203" i="13"/>
  <c r="G1203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H1192" i="13" s="1"/>
  <c r="F1192" i="13" s="1"/>
  <c r="G1193" i="13"/>
  <c r="G1192" i="13" s="1"/>
  <c r="E1192" i="13" s="1"/>
  <c r="G1191" i="13"/>
  <c r="G1190" i="13"/>
  <c r="G1189" i="13"/>
  <c r="G1188" i="13"/>
  <c r="G1187" i="13"/>
  <c r="G1186" i="13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H1167" i="13"/>
  <c r="G1167" i="13"/>
  <c r="H1162" i="13"/>
  <c r="H1161" i="13" s="1"/>
  <c r="G1162" i="13"/>
  <c r="G1161" i="13" s="1"/>
  <c r="H1712" i="13"/>
  <c r="G1712" i="13"/>
  <c r="H1710" i="13"/>
  <c r="G1710" i="13"/>
  <c r="H1709" i="13"/>
  <c r="G1709" i="13"/>
  <c r="H1708" i="13"/>
  <c r="G1708" i="13"/>
  <c r="H1706" i="13"/>
  <c r="G1706" i="13"/>
  <c r="H1705" i="13"/>
  <c r="G1705" i="13"/>
  <c r="H1704" i="13"/>
  <c r="G1704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5" i="13"/>
  <c r="G1695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8" i="13"/>
  <c r="G1688" i="13"/>
  <c r="H1686" i="13"/>
  <c r="G1686" i="13"/>
  <c r="H1685" i="13"/>
  <c r="G1685" i="13"/>
  <c r="H1683" i="13"/>
  <c r="G1683" i="13"/>
  <c r="H1682" i="13"/>
  <c r="G1682" i="13"/>
  <c r="H1681" i="13"/>
  <c r="G1681" i="13"/>
  <c r="H1680" i="13"/>
  <c r="G1680" i="13"/>
  <c r="H1679" i="13"/>
  <c r="G1679" i="13"/>
  <c r="H1678" i="13"/>
  <c r="G1678" i="13"/>
  <c r="H1677" i="13"/>
  <c r="G1677" i="13"/>
  <c r="H1676" i="13"/>
  <c r="G1676" i="13"/>
  <c r="H1675" i="13"/>
  <c r="G1675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4" i="13"/>
  <c r="G1644" i="13"/>
  <c r="H1643" i="13"/>
  <c r="G1643" i="13"/>
  <c r="H1642" i="13"/>
  <c r="G1642" i="13"/>
  <c r="H1641" i="13"/>
  <c r="G1641" i="13"/>
  <c r="H1639" i="13"/>
  <c r="G1639" i="13"/>
  <c r="H1638" i="13"/>
  <c r="G1638" i="13"/>
  <c r="H1637" i="13"/>
  <c r="G1637" i="13"/>
  <c r="H1636" i="13"/>
  <c r="G1636" i="13"/>
  <c r="H1634" i="13"/>
  <c r="G1634" i="13"/>
  <c r="H1633" i="13"/>
  <c r="G1633" i="13"/>
  <c r="H1632" i="13"/>
  <c r="G1632" i="13"/>
  <c r="H1631" i="13"/>
  <c r="G1631" i="13"/>
  <c r="H1630" i="13"/>
  <c r="G1630" i="13"/>
  <c r="H1629" i="13"/>
  <c r="G1629" i="13"/>
  <c r="H1627" i="13"/>
  <c r="G1627" i="13"/>
  <c r="H1626" i="13"/>
  <c r="G1626" i="13"/>
  <c r="H1624" i="13"/>
  <c r="G1624" i="13"/>
  <c r="H1622" i="13"/>
  <c r="G1622" i="13"/>
  <c r="H1621" i="13"/>
  <c r="G1621" i="13"/>
  <c r="H1620" i="13"/>
  <c r="G1620" i="13"/>
  <c r="H1619" i="13"/>
  <c r="G1619" i="13"/>
  <c r="H1618" i="13"/>
  <c r="G1618" i="13"/>
  <c r="H1617" i="13"/>
  <c r="G1617" i="13"/>
  <c r="H1616" i="13"/>
  <c r="G1616" i="13"/>
  <c r="H1615" i="13"/>
  <c r="G1615" i="13"/>
  <c r="H1614" i="13"/>
  <c r="G1614" i="13"/>
  <c r="H1613" i="13"/>
  <c r="G1613" i="13"/>
  <c r="H1612" i="13"/>
  <c r="G1612" i="13"/>
  <c r="H1611" i="13"/>
  <c r="G1611" i="13"/>
  <c r="H1610" i="13"/>
  <c r="G1610" i="13"/>
  <c r="H1609" i="13"/>
  <c r="G1609" i="13"/>
  <c r="H1607" i="13"/>
  <c r="G1607" i="13"/>
  <c r="H1606" i="13"/>
  <c r="G1606" i="13"/>
  <c r="H1605" i="13"/>
  <c r="G1605" i="13"/>
  <c r="H1604" i="13"/>
  <c r="G1604" i="13"/>
  <c r="H1603" i="13"/>
  <c r="G1603" i="13"/>
  <c r="H1602" i="13"/>
  <c r="G1602" i="13"/>
  <c r="H1600" i="13"/>
  <c r="G1600" i="13"/>
  <c r="H1599" i="13"/>
  <c r="G1599" i="13"/>
  <c r="H1598" i="13"/>
  <c r="G1598" i="13"/>
  <c r="H1597" i="13"/>
  <c r="G1597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1" i="13"/>
  <c r="G1581" i="13"/>
  <c r="H1580" i="13"/>
  <c r="G1580" i="13"/>
  <c r="H1579" i="13"/>
  <c r="G1579" i="13"/>
  <c r="H1578" i="13"/>
  <c r="G1578" i="13"/>
  <c r="H1576" i="13"/>
  <c r="G1576" i="13"/>
  <c r="H1575" i="13"/>
  <c r="G1575" i="13"/>
  <c r="H1573" i="13"/>
  <c r="G1573" i="13"/>
  <c r="H1572" i="13"/>
  <c r="G1572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4" i="13"/>
  <c r="G1564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7" i="13"/>
  <c r="G1537" i="13"/>
  <c r="H1535" i="13"/>
  <c r="G1535" i="13"/>
  <c r="H1534" i="13"/>
  <c r="G1534" i="13"/>
  <c r="H1533" i="13"/>
  <c r="G1533" i="13"/>
  <c r="H1532" i="13"/>
  <c r="G1532" i="13"/>
  <c r="H1531" i="13"/>
  <c r="G1531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2" i="13"/>
  <c r="G1522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09" i="13"/>
  <c r="G1509" i="13"/>
  <c r="H1507" i="13"/>
  <c r="G1507" i="13"/>
  <c r="H1506" i="13"/>
  <c r="G1506" i="13"/>
  <c r="H1505" i="13"/>
  <c r="G1505" i="13"/>
  <c r="H1504" i="13"/>
  <c r="G1504" i="13"/>
  <c r="H1503" i="13"/>
  <c r="G1503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G1469" i="13"/>
  <c r="H1469" i="13"/>
  <c r="G1470" i="13"/>
  <c r="H1470" i="13"/>
  <c r="G1471" i="13"/>
  <c r="H1471" i="13"/>
  <c r="G1472" i="13"/>
  <c r="H1472" i="13"/>
  <c r="G1473" i="13"/>
  <c r="H1473" i="13"/>
  <c r="G1474" i="13"/>
  <c r="H1474" i="13"/>
  <c r="G1475" i="13"/>
  <c r="H1475" i="13"/>
  <c r="G1476" i="13"/>
  <c r="H1476" i="13"/>
  <c r="G1477" i="13"/>
  <c r="H1477" i="13"/>
  <c r="G1478" i="13"/>
  <c r="H1478" i="13"/>
  <c r="G1479" i="13"/>
  <c r="H1479" i="13"/>
  <c r="G1480" i="13"/>
  <c r="H1480" i="13"/>
  <c r="G1481" i="13"/>
  <c r="H1481" i="13"/>
  <c r="G1482" i="13"/>
  <c r="H1482" i="13"/>
  <c r="G1483" i="13"/>
  <c r="H1483" i="13"/>
  <c r="G1484" i="13"/>
  <c r="H1484" i="13"/>
  <c r="G1485" i="13"/>
  <c r="H1485" i="13"/>
  <c r="G1486" i="13"/>
  <c r="H1486" i="13"/>
  <c r="G1487" i="13"/>
  <c r="H1487" i="13"/>
  <c r="G1488" i="13"/>
  <c r="H1488" i="13"/>
  <c r="G1489" i="13"/>
  <c r="H1489" i="13"/>
  <c r="G1490" i="13"/>
  <c r="H1490" i="13"/>
  <c r="G1491" i="13"/>
  <c r="H1491" i="13"/>
  <c r="G1492" i="13"/>
  <c r="H1492" i="13"/>
  <c r="H1468" i="13"/>
  <c r="G1468" i="13"/>
  <c r="H1467" i="13"/>
  <c r="G1467" i="13"/>
  <c r="H1465" i="13"/>
  <c r="G1465" i="13"/>
  <c r="H1464" i="13"/>
  <c r="G1464" i="13"/>
  <c r="H1462" i="13"/>
  <c r="H1461" i="13" s="1"/>
  <c r="G1462" i="13"/>
  <c r="G1461" i="13" s="1"/>
  <c r="C6" i="13"/>
  <c r="C560" i="13"/>
  <c r="C260" i="13"/>
  <c r="C860" i="13"/>
  <c r="C1160" i="13"/>
  <c r="C1460" i="13"/>
  <c r="G335" i="13" l="1"/>
  <c r="E335" i="13" s="1"/>
  <c r="F635" i="13"/>
  <c r="E635" i="13"/>
  <c r="E607" i="13"/>
  <c r="H82" i="13"/>
  <c r="F82" i="13" s="1"/>
  <c r="G56" i="13"/>
  <c r="E7" i="13"/>
  <c r="H1421" i="13"/>
  <c r="F1421" i="13" s="1"/>
  <c r="H892" i="13"/>
  <c r="F892" i="13" s="1"/>
  <c r="G892" i="13"/>
  <c r="E892" i="13" s="1"/>
  <c r="H1163" i="13"/>
  <c r="G1163" i="13"/>
  <c r="H56" i="13"/>
  <c r="G566" i="13"/>
  <c r="H1166" i="13"/>
  <c r="H1160" i="13" s="1"/>
  <c r="H592" i="13"/>
  <c r="H1684" i="13"/>
  <c r="G1684" i="13"/>
  <c r="G592" i="13"/>
  <c r="G292" i="13"/>
  <c r="H266" i="13"/>
  <c r="G266" i="13"/>
  <c r="H292" i="13"/>
  <c r="G204" i="13"/>
  <c r="H204" i="13"/>
  <c r="G1166" i="13"/>
  <c r="H866" i="13"/>
  <c r="F866" i="13" s="1"/>
  <c r="G866" i="13"/>
  <c r="H863" i="13"/>
  <c r="G863" i="13"/>
  <c r="G821" i="13"/>
  <c r="G521" i="13"/>
  <c r="H521" i="13"/>
  <c r="H821" i="13"/>
  <c r="G39" i="13"/>
  <c r="E39" i="13" s="1"/>
  <c r="H563" i="13"/>
  <c r="H1463" i="13"/>
  <c r="F861" i="13"/>
  <c r="E861" i="13"/>
  <c r="F1161" i="13"/>
  <c r="E1161" i="13"/>
  <c r="H9" i="13"/>
  <c r="H39" i="13"/>
  <c r="F39" i="13" s="1"/>
  <c r="G563" i="13"/>
  <c r="G263" i="13"/>
  <c r="G1463" i="13"/>
  <c r="F561" i="13"/>
  <c r="E561" i="13"/>
  <c r="H230" i="13"/>
  <c r="F230" i="13" s="1"/>
  <c r="G230" i="13"/>
  <c r="E230" i="13" s="1"/>
  <c r="G9" i="13"/>
  <c r="F261" i="13"/>
  <c r="E261" i="13"/>
  <c r="H12" i="13"/>
  <c r="G12" i="13"/>
  <c r="F7" i="13"/>
  <c r="G1466" i="13"/>
  <c r="C4" i="13"/>
  <c r="H1466" i="13"/>
  <c r="F1461" i="13"/>
  <c r="E1461" i="13"/>
  <c r="G1160" i="13" l="1"/>
  <c r="H260" i="13"/>
  <c r="J7" i="13"/>
  <c r="G560" i="13"/>
  <c r="H6" i="13"/>
  <c r="G260" i="13"/>
  <c r="E9" i="13"/>
  <c r="G6" i="13"/>
  <c r="G860" i="13"/>
  <c r="E860" i="13" s="1"/>
  <c r="G45" i="1" s="1"/>
  <c r="F563" i="13"/>
  <c r="H860" i="13"/>
  <c r="F860" i="13" s="1"/>
  <c r="K497" i="1" s="1"/>
  <c r="E263" i="13"/>
  <c r="J263" i="13" s="1"/>
  <c r="E1160" i="13"/>
  <c r="G46" i="1" s="1"/>
  <c r="F1463" i="13"/>
  <c r="H1460" i="13"/>
  <c r="E1463" i="13"/>
  <c r="G1460" i="13"/>
  <c r="J892" i="13"/>
  <c r="F56" i="13"/>
  <c r="F1163" i="13"/>
  <c r="E1163" i="13"/>
  <c r="E56" i="13"/>
  <c r="J39" i="13"/>
  <c r="F204" i="13"/>
  <c r="E204" i="13"/>
  <c r="J861" i="13"/>
  <c r="E292" i="13"/>
  <c r="J1461" i="13"/>
  <c r="H566" i="13"/>
  <c r="H560" i="13" s="1"/>
  <c r="F1684" i="13"/>
  <c r="F592" i="13"/>
  <c r="E1684" i="13"/>
  <c r="E592" i="13"/>
  <c r="E566" i="13"/>
  <c r="F292" i="13"/>
  <c r="E866" i="13"/>
  <c r="J866" i="13" s="1"/>
  <c r="E1166" i="13"/>
  <c r="F1166" i="13"/>
  <c r="E863" i="13"/>
  <c r="F863" i="13"/>
  <c r="F821" i="13"/>
  <c r="E821" i="13"/>
  <c r="E521" i="13"/>
  <c r="F521" i="13"/>
  <c r="F9" i="13"/>
  <c r="E563" i="13"/>
  <c r="J561" i="13"/>
  <c r="J230" i="13"/>
  <c r="J261" i="13"/>
  <c r="E266" i="13"/>
  <c r="F12" i="13"/>
  <c r="E12" i="13"/>
  <c r="E1466" i="13"/>
  <c r="F1466" i="13"/>
  <c r="G4" i="13" l="1"/>
  <c r="J563" i="13"/>
  <c r="J1463" i="13"/>
  <c r="J56" i="13"/>
  <c r="F6" i="13"/>
  <c r="J1466" i="13"/>
  <c r="J863" i="13"/>
  <c r="F1160" i="13"/>
  <c r="K426" i="1" s="1"/>
  <c r="J521" i="13"/>
  <c r="J292" i="13"/>
  <c r="J204" i="13"/>
  <c r="J592" i="13"/>
  <c r="F566" i="13"/>
  <c r="F266" i="13"/>
  <c r="J821" i="13"/>
  <c r="K496" i="1"/>
  <c r="M497" i="1" s="1"/>
  <c r="K425" i="1"/>
  <c r="H45" i="1"/>
  <c r="J860" i="13"/>
  <c r="E260" i="13"/>
  <c r="G43" i="1" s="1"/>
  <c r="J9" i="13"/>
  <c r="E6" i="13"/>
  <c r="G42" i="1" s="1"/>
  <c r="K141" i="1" s="1"/>
  <c r="J12" i="13"/>
  <c r="E1460" i="13"/>
  <c r="G47" i="1" s="1"/>
  <c r="K354" i="1" s="1"/>
  <c r="F1460" i="13"/>
  <c r="M426" i="1" l="1"/>
  <c r="H42" i="1"/>
  <c r="H46" i="1"/>
  <c r="J1160" i="13"/>
  <c r="F560" i="13"/>
  <c r="H44" i="1" s="1"/>
  <c r="J566" i="13"/>
  <c r="E560" i="13"/>
  <c r="G44" i="1" s="1"/>
  <c r="F260" i="13"/>
  <c r="H43" i="1" s="1"/>
  <c r="K213" i="1" s="1"/>
  <c r="H4" i="13"/>
  <c r="M11" i="11" s="1"/>
  <c r="M10" i="11" s="1"/>
  <c r="J266" i="13"/>
  <c r="I45" i="1"/>
  <c r="H47" i="1"/>
  <c r="K355" i="1" s="1"/>
  <c r="M355" i="1" s="1"/>
  <c r="J1460" i="13"/>
  <c r="E10" i="11"/>
  <c r="J6" i="13"/>
  <c r="K10" i="11" l="1"/>
  <c r="L10" i="11"/>
  <c r="I42" i="1"/>
  <c r="K142" i="1"/>
  <c r="M142" i="1" s="1"/>
  <c r="I13" i="11"/>
  <c r="I10" i="11"/>
  <c r="I46" i="1"/>
  <c r="K284" i="1"/>
  <c r="J560" i="13"/>
  <c r="G94" i="1"/>
  <c r="H10" i="11"/>
  <c r="J260" i="13"/>
  <c r="F4" i="13"/>
  <c r="B16" i="11"/>
  <c r="P97" i="1" s="1"/>
  <c r="K212" i="1"/>
  <c r="M213" i="1" s="1"/>
  <c r="I43" i="1"/>
  <c r="I47" i="1"/>
  <c r="J10" i="11" l="1"/>
  <c r="J15" i="11"/>
  <c r="J13" i="11"/>
  <c r="K283" i="1"/>
  <c r="M284" i="1" s="1"/>
  <c r="G95" i="1"/>
  <c r="I44" i="1"/>
  <c r="P104" i="1" l="1"/>
  <c r="Q104" i="1" s="1"/>
  <c r="C10" i="11"/>
  <c r="D10" i="11"/>
  <c r="E4" i="13" l="1"/>
  <c r="K4" i="13" s="1"/>
  <c r="J4" i="13"/>
  <c r="K19" i="11" l="1"/>
  <c r="C94" i="1" l="1"/>
  <c r="AL9" i="11"/>
  <c r="K94" i="1" l="1"/>
  <c r="C95" i="1"/>
  <c r="P99" i="1" l="1"/>
  <c r="Q99" i="1" s="1"/>
  <c r="K95" i="1"/>
</calcChain>
</file>

<file path=xl/sharedStrings.xml><?xml version="1.0" encoding="utf-8"?>
<sst xmlns="http://schemas.openxmlformats.org/spreadsheetml/2006/main" count="2047" uniqueCount="509">
  <si>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</si>
  <si>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</si>
  <si>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</si>
  <si>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</si>
  <si>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</si>
  <si>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</si>
  <si>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</si>
  <si>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</si>
  <si>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</si>
  <si>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</si>
  <si>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</si>
  <si>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</si>
  <si>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</si>
  <si>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</si>
  <si>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</si>
  <si>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</si>
  <si>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</si>
  <si>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</si>
  <si>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</si>
  <si>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</si>
  <si>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</si>
  <si>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</si>
  <si>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</si>
  <si>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</si>
  <si>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</si>
  <si>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</si>
  <si>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</si>
  <si>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</si>
  <si>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</si>
  <si>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</si>
  <si>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</si>
  <si>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</si>
  <si>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</si>
  <si>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</si>
  <si>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</si>
  <si>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</si>
  <si>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</si>
  <si>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</si>
  <si>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</si>
  <si>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</si>
  <si>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</si>
  <si>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</si>
  <si>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</si>
  <si>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</si>
  <si>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</si>
  <si>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</si>
  <si>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</si>
  <si>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</si>
  <si>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</si>
  <si>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</si>
  <si>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</si>
  <si>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</si>
  <si>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</si>
  <si>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</si>
  <si>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</si>
  <si>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</si>
  <si>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</si>
  <si>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</si>
  <si>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</si>
  <si>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</si>
  <si>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</si>
  <si>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</si>
  <si>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</si>
  <si>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</si>
  <si>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</si>
  <si>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</si>
  <si>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</si>
  <si>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</si>
  <si>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</si>
  <si>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</si>
  <si>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</si>
  <si>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</si>
  <si>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</si>
  <si>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</si>
  <si>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</si>
  <si>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</si>
  <si>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</si>
  <si>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</si>
  <si>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</si>
  <si>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</si>
  <si>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</si>
  <si>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</si>
  <si>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</si>
  <si>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</si>
  <si>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</si>
  <si>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</si>
  <si>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</si>
  <si>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</si>
  <si>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</si>
  <si>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</si>
  <si>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</si>
  <si>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</si>
  <si>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</si>
  <si>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</si>
  <si>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</si>
  <si>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</si>
  <si>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</si>
  <si>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</si>
  <si>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</si>
  <si>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</si>
  <si>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</si>
  <si>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</si>
  <si>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</si>
  <si>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</si>
  <si>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</si>
  <si>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</si>
  <si>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</si>
  <si>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</si>
  <si>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</si>
  <si>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</si>
  <si>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</si>
  <si>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</si>
  <si>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</si>
  <si>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</si>
  <si>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</si>
  <si>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</si>
  <si>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</si>
  <si>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</si>
  <si>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</si>
  <si>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</si>
  <si>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</si>
  <si>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</si>
  <si>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</si>
  <si>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</si>
  <si>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</si>
  <si>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</si>
  <si>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</si>
  <si>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</si>
  <si>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</si>
  <si>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</si>
  <si>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</si>
  <si>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</si>
  <si>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</si>
  <si>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</si>
  <si>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</si>
  <si>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</si>
  <si>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</si>
  <si>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</si>
  <si>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</si>
  <si>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</si>
  <si>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</si>
  <si>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</si>
  <si>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</si>
  <si>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</si>
  <si>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</si>
  <si>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</si>
  <si>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</si>
  <si>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</si>
  <si>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</si>
  <si>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</si>
  <si>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</si>
  <si>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</si>
  <si>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</si>
  <si>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</si>
  <si>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</si>
  <si>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</si>
  <si>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</si>
  <si>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</si>
  <si>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</si>
  <si>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</si>
  <si>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</si>
  <si>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</si>
  <si>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</si>
  <si>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</si>
  <si>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</si>
  <si>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</si>
  <si>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</si>
  <si>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</si>
  <si>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</si>
  <si>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</si>
  <si>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</si>
  <si>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</si>
  <si>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</si>
  <si>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</si>
  <si>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</si>
  <si>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</si>
  <si>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</si>
  <si>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</si>
  <si>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</si>
  <si>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</si>
  <si>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</si>
  <si>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</si>
  <si>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</si>
  <si>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</si>
  <si>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</si>
  <si>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</si>
  <si>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</si>
  <si>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</si>
  <si>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</si>
  <si>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</si>
  <si>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</si>
  <si>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</si>
  <si>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</si>
  <si>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</si>
  <si>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</si>
  <si>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</si>
  <si>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</si>
  <si>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</si>
  <si>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</si>
  <si>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</si>
  <si>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</si>
  <si>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</si>
  <si>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</si>
  <si>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</si>
  <si>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</si>
  <si>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</si>
  <si>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</si>
  <si>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</si>
  <si>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</si>
  <si>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</si>
  <si>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</si>
  <si>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</si>
  <si>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</si>
  <si>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</si>
  <si>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</si>
  <si>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</si>
  <si>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</si>
  <si>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</si>
  <si>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</si>
  <si>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</si>
  <si>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</si>
  <si>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</si>
  <si>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</si>
  <si>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</si>
  <si>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</si>
  <si>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</si>
  <si>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</si>
  <si>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</si>
  <si>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</si>
  <si>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</si>
  <si>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</si>
  <si>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</si>
  <si>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</si>
  <si>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</si>
  <si>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</si>
  <si>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</si>
  <si>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</si>
  <si>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</si>
  <si>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</si>
  <si>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</si>
  <si>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</si>
  <si>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</si>
  <si>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</si>
  <si>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</si>
  <si>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</si>
  <si>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</si>
  <si>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</si>
  <si>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</si>
  <si>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</si>
  <si>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</si>
  <si>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</si>
  <si>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</si>
  <si>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</si>
  <si>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</si>
  <si>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</si>
  <si>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</si>
  <si>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</si>
  <si>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</si>
  <si>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</si>
  <si>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</si>
  <si>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</si>
  <si>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</si>
  <si>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</si>
  <si>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</si>
  <si>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</si>
  <si>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</si>
  <si>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</si>
  <si>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</si>
  <si>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</si>
  <si>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</si>
  <si>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</si>
  <si>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</si>
  <si>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</si>
  <si>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</si>
  <si>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</si>
  <si>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</si>
  <si>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</si>
  <si>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</si>
  <si>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</si>
  <si>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</si>
  <si>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</si>
  <si>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</si>
  <si>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</si>
  <si>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</si>
  <si>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</si>
  <si>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</si>
  <si>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</si>
  <si>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</si>
  <si>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</si>
  <si>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</si>
  <si>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</si>
  <si>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</si>
  <si>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</si>
  <si>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</si>
  <si>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</si>
  <si>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</si>
  <si>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</si>
  <si>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</si>
  <si>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</si>
  <si>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</si>
  <si>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</si>
  <si>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</si>
  <si>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</si>
  <si>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</si>
  <si>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</si>
  <si>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</si>
  <si>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</si>
  <si>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</si>
  <si>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</si>
  <si>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</si>
  <si>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</si>
  <si>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</si>
  <si>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</si>
  <si>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</si>
  <si>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</si>
  <si>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</si>
  <si>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</si>
  <si>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</si>
  <si>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</si>
  <si>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</si>
  <si>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</si>
  <si>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</si>
  <si>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</si>
  <si>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</si>
  <si>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</si>
  <si>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</si>
  <si>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</si>
  <si>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</si>
  <si>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</si>
  <si>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</si>
  <si>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</si>
  <si>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</si>
  <si>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</si>
  <si>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</si>
  <si>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</si>
  <si>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</si>
  <si>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</si>
  <si>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</si>
  <si>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</si>
  <si>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</si>
  <si>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</si>
  <si>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</si>
  <si>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</si>
  <si>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</si>
  <si>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</si>
  <si>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</si>
  <si>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</si>
  <si>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</si>
  <si>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</si>
  <si>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</si>
  <si>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</si>
  <si>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</si>
  <si>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</si>
  <si>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</si>
  <si>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</si>
  <si>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</si>
  <si>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</si>
  <si>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</si>
  <si>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</si>
  <si>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</si>
  <si>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</si>
  <si>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</si>
  <si>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</si>
  <si>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</si>
  <si>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</si>
  <si>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</si>
  <si>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</si>
  <si>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</si>
  <si>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</si>
  <si>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</si>
  <si>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</si>
  <si>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</si>
  <si>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</si>
  <si>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</si>
  <si>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</si>
  <si>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</si>
  <si>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</si>
  <si>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</si>
  <si>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</si>
  <si>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</si>
  <si>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</si>
  <si>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</si>
  <si>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</si>
  <si>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</si>
  <si>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</si>
  <si>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</si>
  <si>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</si>
  <si>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</si>
  <si>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</si>
  <si>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</si>
  <si>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</si>
  <si>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</si>
  <si>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</si>
  <si>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</si>
  <si>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</si>
  <si>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</si>
  <si>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</si>
  <si>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</si>
  <si>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</si>
  <si>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</si>
  <si>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</si>
  <si>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</si>
  <si>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</si>
  <si>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</si>
  <si>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</si>
  <si>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</si>
  <si>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</si>
  <si>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</si>
  <si>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</si>
  <si>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</si>
  <si>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</si>
  <si>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</si>
  <si>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</si>
  <si>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>Suministrado</t>
  </si>
  <si>
    <t>ACTIVIDADES RELEVANTES</t>
  </si>
  <si>
    <t>AVANCE PROGRAMADO:</t>
  </si>
  <si>
    <t>AVANCE REAL:</t>
  </si>
  <si>
    <t>LOTE 04 - MZA 661</t>
  </si>
  <si>
    <t>LOTE 02 - MZA 661</t>
  </si>
  <si>
    <t>LOTE 03 - MZA 661</t>
  </si>
  <si>
    <t>FECHA REQUERIDA</t>
  </si>
  <si>
    <t>Media</t>
  </si>
  <si>
    <t>--</t>
  </si>
  <si>
    <t>Colado de losa de cimentación</t>
  </si>
  <si>
    <t>LOTE 20,  MZA 663</t>
  </si>
  <si>
    <t>199d</t>
  </si>
  <si>
    <t>1/20/27 12:00</t>
  </si>
  <si>
    <t>HITOS IMPORTANTES</t>
  </si>
  <si>
    <t>25d</t>
  </si>
  <si>
    <t>175d</t>
  </si>
  <si>
    <t>12/16/26 2:00</t>
  </si>
  <si>
    <t>178d</t>
  </si>
  <si>
    <t>5/20/26 11:00</t>
  </si>
  <si>
    <t>LOTE 03  M-661 CORSAC-A</t>
  </si>
  <si>
    <t>181d</t>
  </si>
  <si>
    <t>5/29/26 3:00</t>
  </si>
  <si>
    <t>1/18/27 12:00</t>
  </si>
  <si>
    <t>174d</t>
  </si>
  <si>
    <t>199 días</t>
  </si>
  <si>
    <t>lun 5/11/26</t>
  </si>
  <si>
    <t>mié 1/20/27</t>
  </si>
  <si>
    <t>25 días</t>
  </si>
  <si>
    <t>mié 6/10/26</t>
  </si>
  <si>
    <t>180 días</t>
  </si>
  <si>
    <t>mar 12/22/26</t>
  </si>
  <si>
    <t>178 días</t>
  </si>
  <si>
    <t>mié 5/20/26</t>
  </si>
  <si>
    <t>lun 1/4/27</t>
  </si>
  <si>
    <t>181 días</t>
  </si>
  <si>
    <t>mar 6/2/26</t>
  </si>
  <si>
    <t>174 días</t>
  </si>
  <si>
    <t>L04</t>
  </si>
  <si>
    <t>No. Lote</t>
  </si>
  <si>
    <t>TAREA</t>
  </si>
  <si>
    <t>L02</t>
  </si>
  <si>
    <t>L03</t>
  </si>
  <si>
    <t>L20</t>
  </si>
  <si>
    <t>L21</t>
  </si>
  <si>
    <t>L22</t>
  </si>
  <si>
    <t>LOTE 21 MZA 663</t>
  </si>
  <si>
    <t>LOTE 22 MZA 663</t>
  </si>
  <si>
    <t xml:space="preserve">   LOSA DE ENTREPISO </t>
  </si>
  <si>
    <t xml:space="preserve">REPROGRAMACIÓN 01
ACUMULADO PROGRAMADO
</t>
  </si>
  <si>
    <t>SEM 37</t>
  </si>
  <si>
    <t>SEM 38</t>
  </si>
  <si>
    <t>LINEA BASE - ORIGINAL</t>
  </si>
  <si>
    <t>Colocación de cimbra perimetral</t>
  </si>
  <si>
    <t>LÍNEA DEL TIEMPO GENERAL</t>
  </si>
  <si>
    <t xml:space="preserve">      Cimbra losa de entrepiso</t>
  </si>
  <si>
    <t>Terminación de instalaciones hidro-sanitarias</t>
  </si>
  <si>
    <t>Colocación de acero en sitio</t>
  </si>
  <si>
    <t>DIF:</t>
  </si>
  <si>
    <t>Material para instalaciones eléctricas en losa de Lote 04</t>
  </si>
  <si>
    <t>Material para instalaciones Hidro-Sanitarias en losa de Lote 04</t>
  </si>
  <si>
    <t>Acero Lote 20</t>
  </si>
  <si>
    <t>Continuación de pegado de ladrillo</t>
  </si>
  <si>
    <t>Colado de castillos intermedios</t>
  </si>
  <si>
    <t>Continuación de instalaciones Hidrosanitarias</t>
  </si>
  <si>
    <t>Habilitado de acero de cimentación</t>
  </si>
  <si>
    <t>Inicio de colados de cerramiento</t>
  </si>
  <si>
    <t>Instalaciones eléctricas en losa de entrepiso</t>
  </si>
  <si>
    <t>Instalaciones Hidro-Sanitarias en losa de entrepiso</t>
  </si>
  <si>
    <t>Concreto Lote 21</t>
  </si>
  <si>
    <t>SEMANA 10</t>
  </si>
  <si>
    <t>Cimbra de trabes</t>
  </si>
  <si>
    <t>Habilitado de acero y cimbra de escalera</t>
  </si>
  <si>
    <t>urge definiciones de armados de trabes entrepiso</t>
  </si>
  <si>
    <t xml:space="preserve">Inicio de muros de tabique </t>
  </si>
  <si>
    <t>Continuación de instalaciones Hidro-Sanitarias</t>
  </si>
  <si>
    <t>Se continuó con muros de tabique y block hasta cerramientos</t>
  </si>
  <si>
    <t>Inicio de muros de tabique</t>
  </si>
  <si>
    <t>11</t>
  </si>
  <si>
    <t>AVANCE PROGRAMADO SEMANA - 11</t>
  </si>
  <si>
    <t>AVANCE FÍSICO - FINANCIERO SEMANA - 11</t>
  </si>
  <si>
    <t>SEMANA 11 - DEL 20 AL 25 DE JULIO DEL 2026</t>
  </si>
  <si>
    <t>ACTIVIDADES REALIZADAS ESTA SEMANA - 11</t>
  </si>
  <si>
    <t>ACTIVIDADES PROGRAMADAS PROXIMA SEMANA - 12</t>
  </si>
  <si>
    <t xml:space="preserve">   LOSA DE ENTREPISO</t>
  </si>
  <si>
    <t>Pagado / se cuela lunes</t>
  </si>
  <si>
    <t>Ladrillo Lote 22</t>
  </si>
  <si>
    <t>Armex Cerramientos Lote 02</t>
  </si>
  <si>
    <t>Armex Cerramientos Lote 03</t>
  </si>
  <si>
    <t>Concreto entrepiso Lote 044</t>
  </si>
  <si>
    <t>Programar</t>
  </si>
  <si>
    <t>Se retomó armado de trabes en losa de entrepiso</t>
  </si>
  <si>
    <t>Terminación de instalaciones Hidrosanitarias</t>
  </si>
  <si>
    <t>Fumigación de terreno</t>
  </si>
  <si>
    <t xml:space="preserve">Inicio de colocación de hule negro </t>
  </si>
  <si>
    <t>Fumigación y colocación de acero en 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</si>
</sst>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0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0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0" fontId="4" fillId="0" borderId="0" xfId="0" applyFont="1" applyAlignment="1">
      <alignment wrapText="1"/>
    </xf>
    <xf numFmtId="16" fontId="0" fillId="0" borderId="0" xfId="0" applyNumberFormat="1"/>
    <xf numFmtId="2" fontId="0" fillId="0" borderId="0" xfId="0" applyNumberFormat="1"/>
    <xf numFmtId="10" fontId="27" fillId="2" borderId="0" xfId="0" applyNumberFormat="1" applyFont="1" applyFill="1" applyAlignment="1">
      <alignment horizontal="center"/>
    </xf>
    <xf numFmtId="10" fontId="28" fillId="2" borderId="0" xfId="0" applyNumberFormat="1" applyFont="1" applyFill="1" applyAlignment="1">
      <alignment horizontal="center"/>
    </xf>
    <xf numFmtId="0" fontId="20" fillId="2" borderId="0" xfId="0" applyFont="1" applyFill="1"/>
    <xf numFmtId="0" fontId="4" fillId="4" borderId="1" xfId="0" quotePrefix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10" fontId="29" fillId="2" borderId="0" xfId="0" applyNumberFormat="1" applyFont="1" applyFill="1" applyAlignment="1">
      <alignment horizontal="center"/>
    </xf>
    <xf numFmtId="10" fontId="30" fillId="2" borderId="0" xfId="0" applyNumberFormat="1" applyFont="1" applyFill="1" applyAlignment="1">
      <alignment horizontal="center"/>
    </xf>
    <xf numFmtId="44" fontId="0" fillId="0" borderId="0" xfId="1" applyFont="1"/>
    <xf numFmtId="44" fontId="0" fillId="0" borderId="0" xfId="0" applyNumberFormat="1"/>
    <xf numFmtId="10" fontId="32" fillId="2" borderId="0" xfId="0" applyNumberFormat="1" applyFont="1" applyFill="1" applyAlignment="1">
      <alignment horizontal="center"/>
    </xf>
    <xf numFmtId="44" fontId="4" fillId="0" borderId="0" xfId="1" applyFont="1"/>
    <xf numFmtId="0" fontId="12" fillId="0" borderId="0" xfId="0" applyFont="1" applyAlignment="1">
      <alignment wrapText="1"/>
    </xf>
    <xf numFmtId="0" fontId="13" fillId="0" borderId="0" xfId="0" applyFont="1"/>
    <xf numFmtId="8" fontId="4" fillId="2" borderId="0" xfId="0" applyNumberFormat="1" applyFont="1" applyFill="1"/>
    <xf numFmtId="10" fontId="5" fillId="2" borderId="0" xfId="0" applyNumberFormat="1" applyFont="1" applyFill="1"/>
    <xf numFmtId="0" fontId="4" fillId="2" borderId="0" xfId="0" applyFont="1" applyFill="1" applyAlignment="1">
      <alignment horizontal="center"/>
    </xf>
    <xf numFmtId="10" fontId="25" fillId="2" borderId="22" xfId="0" applyNumberFormat="1" applyFont="1" applyFill="1" applyBorder="1" applyAlignment="1">
      <alignment horizontal="center"/>
    </xf>
    <xf numFmtId="10" fontId="18" fillId="2" borderId="2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5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8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45" xfId="0" quotePrefix="1" applyFill="1" applyBorder="1" applyAlignment="1">
      <alignment horizontal="left"/>
    </xf>
    <xf numFmtId="0" fontId="0" fillId="2" borderId="46" xfId="0" quotePrefix="1" applyFill="1" applyBorder="1" applyAlignment="1">
      <alignment horizontal="left"/>
    </xf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/>
    </xf>
    <xf numFmtId="16" fontId="11" fillId="2" borderId="46" xfId="0" quotePrefix="1" applyNumberFormat="1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/>
    </xf>
    <xf numFmtId="0" fontId="24" fillId="2" borderId="4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28" xfId="0" quotePrefix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4" fillId="3" borderId="42" xfId="0" applyFont="1" applyFill="1" applyBorder="1" applyAlignment="1">
      <alignment horizontal="center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2" fillId="5" borderId="3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47" xfId="0" quotePrefix="1" applyFill="1" applyBorder="1" applyAlignment="1">
      <alignment horizontal="left"/>
    </xf>
    <xf numFmtId="0" fontId="0" fillId="2" borderId="45" xfId="0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2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25" fillId="2" borderId="3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5" fillId="2" borderId="37" xfId="2" applyNumberFormat="1" applyFont="1" applyFill="1" applyBorder="1" applyAlignment="1">
      <alignment horizontal="center"/>
    </xf>
    <xf numFmtId="10" fontId="15" fillId="2" borderId="38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0" fontId="31" fillId="2" borderId="37" xfId="0" applyNumberFormat="1" applyFont="1" applyFill="1" applyBorder="1" applyAlignment="1">
      <alignment horizontal="center"/>
    </xf>
    <xf numFmtId="0" fontId="31" fillId="2" borderId="3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/>
    </xf>
    <xf numFmtId="0" fontId="25" fillId="2" borderId="33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0" fillId="2" borderId="33" xfId="0" applyFill="1" applyBorder="1" applyAlignment="1">
      <alignment horizontal="left"/>
    </xf>
    <xf numFmtId="0" fontId="17" fillId="4" borderId="48" xfId="0" applyFont="1" applyFill="1" applyBorder="1" applyAlignment="1">
      <alignment horizontal="center" vertical="center"/>
    </xf>
    <xf numFmtId="0" fontId="17" fillId="4" borderId="49" xfId="0" applyFont="1" applyFill="1" applyBorder="1" applyAlignment="1">
      <alignment horizontal="center" vertical="center"/>
    </xf>
    <xf numFmtId="0" fontId="17" fillId="4" borderId="50" xfId="0" applyFont="1" applyFill="1" applyBorder="1" applyAlignment="1">
      <alignment horizontal="center" vertical="center"/>
    </xf>
    <xf numFmtId="8" fontId="4" fillId="9" borderId="0" xfId="0" applyNumberFormat="1" applyFont="1" applyFill="1"/>
    <xf numFmtId="0" fontId="2" fillId="5" borderId="2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/>
    </xf>
    <xf numFmtId="0" fontId="25" fillId="2" borderId="51" xfId="0" applyFont="1" applyFill="1" applyBorder="1" applyAlignment="1">
      <alignment horizontal="center"/>
    </xf>
    <xf numFmtId="16" fontId="0" fillId="2" borderId="2" xfId="0" quotePrefix="1" applyNumberForma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1.7571063351255748E-2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4.2489367298644498E-2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6.1437970221942355E-2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7.9901913245583628E-2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0.1376469583038708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0.22980962593446999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- REPROG.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0.16839856276327425</c:v>
                </c:pt>
                <c:pt idx="1">
                  <c:v>0.83160143723672575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5565108419559337"/>
                  <c:y val="-9.56293298248919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3935950191653"/>
                      <c:h val="7.939631831435742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0.10670392626650108</c:v>
                </c:pt>
                <c:pt idx="1">
                  <c:v>0.89329607373349895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0"/>
          <c:order val="0"/>
          <c:tx>
            <c:strRef>
              <c:f>'CURVA S BASE'!$A$7</c:f>
              <c:strCache>
                <c:ptCount val="1"/>
                <c:pt idx="0">
                  <c:v>REPROGRAMACIÓN 01
ACUMULADO PROGRAMADO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9A-4489-8418-E7B28FD89EDB}"/>
                </c:ext>
              </c:extLst>
            </c:dLbl>
            <c:dLbl>
              <c:idx val="11"/>
              <c:layout>
                <c:manualLayout>
                  <c:x val="2.2949796529498339E-2"/>
                  <c:y val="-0.145754100625209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53-4E1D-A5DD-CB40405451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 BASE'!$B$7:$AN$7</c:f>
              <c:numCache>
                <c:formatCode>"$"#,##0.00_);[Red]\("$"#,##0.00\)</c:formatCode>
                <c:ptCount val="39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549341.17350000003</c:v>
                </c:pt>
                <c:pt idx="7">
                  <c:v>739231.1706999999</c:v>
                </c:pt>
                <c:pt idx="8">
                  <c:v>1026886.7406999998</c:v>
                </c:pt>
                <c:pt idx="9">
                  <c:v>1372458.0274999999</c:v>
                </c:pt>
                <c:pt idx="10">
                  <c:v>1724245.0067999999</c:v>
                </c:pt>
                <c:pt idx="11">
                  <c:v>2192434.6768</c:v>
                </c:pt>
                <c:pt idx="12">
                  <c:v>2683326.4068</c:v>
                </c:pt>
                <c:pt idx="13">
                  <c:v>3113340.7467999998</c:v>
                </c:pt>
                <c:pt idx="14">
                  <c:v>3483488.0167999999</c:v>
                </c:pt>
                <c:pt idx="15">
                  <c:v>3752104.7067999998</c:v>
                </c:pt>
                <c:pt idx="16">
                  <c:v>4129355.1267999997</c:v>
                </c:pt>
                <c:pt idx="17">
                  <c:v>4439421.7467999998</c:v>
                </c:pt>
                <c:pt idx="18">
                  <c:v>5007560.8767999997</c:v>
                </c:pt>
                <c:pt idx="19">
                  <c:v>5615842.4767999994</c:v>
                </c:pt>
                <c:pt idx="20">
                  <c:v>6230977.7467999998</c:v>
                </c:pt>
                <c:pt idx="21">
                  <c:v>6938562.9868000001</c:v>
                </c:pt>
                <c:pt idx="22">
                  <c:v>7765168.4368000003</c:v>
                </c:pt>
                <c:pt idx="23">
                  <c:v>8467825.5767999999</c:v>
                </c:pt>
                <c:pt idx="24">
                  <c:v>9120726.3768000007</c:v>
                </c:pt>
                <c:pt idx="25">
                  <c:v>9973844.0767999999</c:v>
                </c:pt>
                <c:pt idx="26">
                  <c:v>10790506.6768</c:v>
                </c:pt>
                <c:pt idx="27">
                  <c:v>11390237.2368</c:v>
                </c:pt>
                <c:pt idx="28">
                  <c:v>11907390.2468</c:v>
                </c:pt>
                <c:pt idx="29">
                  <c:v>12348241.9168</c:v>
                </c:pt>
                <c:pt idx="30">
                  <c:v>12622776.266799999</c:v>
                </c:pt>
                <c:pt idx="31">
                  <c:v>12779016.286799999</c:v>
                </c:pt>
                <c:pt idx="32">
                  <c:v>12894730.806799999</c:v>
                </c:pt>
                <c:pt idx="33">
                  <c:v>12968078.206799999</c:v>
                </c:pt>
                <c:pt idx="34">
                  <c:v>13005991.5068</c:v>
                </c:pt>
                <c:pt idx="35">
                  <c:v>13016683.7268</c:v>
                </c:pt>
                <c:pt idx="36">
                  <c:v>13019319.4068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4-4E8E-8323-C85A23B3EAD0}"/>
            </c:ext>
          </c:extLst>
        </c:ser>
        <c:ser>
          <c:idx val="2"/>
          <c:order val="1"/>
          <c:tx>
            <c:strRef>
              <c:f>'CURVA S BASE'!$A$11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9A-4489-8418-E7B28FD89EDB}"/>
                </c:ext>
              </c:extLst>
            </c:dLbl>
            <c:dLbl>
              <c:idx val="11"/>
              <c:layout>
                <c:manualLayout>
                  <c:x val="1.8646709680217349E-2"/>
                  <c:y val="-5.03514165796176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53-4E1D-A5DD-CB40405451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BASE'!$B$11:$M$11</c:f>
              <c:numCache>
                <c:formatCode>"$"#,##0.00_);[Red]\("$"#,##0.00\)</c:formatCode>
                <c:ptCount val="12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250007.4</c:v>
                </c:pt>
                <c:pt idx="5">
                  <c:v>418404.76099999994</c:v>
                </c:pt>
                <c:pt idx="6">
                  <c:v>549341.17350000003</c:v>
                </c:pt>
                <c:pt idx="7">
                  <c:v>724374.49699999997</c:v>
                </c:pt>
                <c:pt idx="8">
                  <c:v>809695.41669999994</c:v>
                </c:pt>
                <c:pt idx="9">
                  <c:v>1061482.3959999999</c:v>
                </c:pt>
                <c:pt idx="10">
                  <c:v>1254462.1605</c:v>
                </c:pt>
                <c:pt idx="11">
                  <c:v>1406797.4580000001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ser>
          <c:idx val="1"/>
          <c:order val="2"/>
          <c:tx>
            <c:strRef>
              <c:f>'CURVA S BASE'!$A$4</c:f>
              <c:strCache>
                <c:ptCount val="1"/>
                <c:pt idx="0">
                  <c:v>LINEA BASE - ORIGINAL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9A-4489-8418-E7B28FD89EDB}"/>
                </c:ext>
              </c:extLst>
            </c:dLbl>
            <c:dLbl>
              <c:idx val="11"/>
              <c:layout>
                <c:manualLayout>
                  <c:x val="2.1515434246404692E-2"/>
                  <c:y val="-0.153704324295674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53-4E1D-A5DD-CB40405451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682496.80009999988</c:v>
                </c:pt>
                <c:pt idx="7">
                  <c:v>1203996.95</c:v>
                </c:pt>
                <c:pt idx="8">
                  <c:v>1552749.69</c:v>
                </c:pt>
                <c:pt idx="9">
                  <c:v>1945239.28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812626431411676"/>
          <c:y val="0.12484480370459557"/>
          <c:w val="0.21855651265456064"/>
          <c:h val="0.2139941464652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8.8439239037491971E-2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0.10925720278540797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0.13824485237306652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0.2125280929139384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0.19731815308010175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0.3215776774477766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43962</xdr:colOff>
      <xdr:row>95</xdr:row>
      <xdr:rowOff>56474</xdr:rowOff>
    </xdr:from>
    <xdr:to>
      <xdr:col>6</xdr:col>
      <xdr:colOff>605860</xdr:colOff>
      <xdr:row>106</xdr:row>
      <xdr:rowOff>115980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527</xdr:colOff>
      <xdr:row>95</xdr:row>
      <xdr:rowOff>56097</xdr:rowOff>
    </xdr:from>
    <xdr:to>
      <xdr:col>10</xdr:col>
      <xdr:colOff>325495</xdr:colOff>
      <xdr:row>106</xdr:row>
      <xdr:rowOff>72836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262638</xdr:colOff>
      <xdr:row>68</xdr:row>
      <xdr:rowOff>101155</xdr:rowOff>
    </xdr:from>
    <xdr:to>
      <xdr:col>5</xdr:col>
      <xdr:colOff>262638</xdr:colOff>
      <xdr:row>89</xdr:row>
      <xdr:rowOff>101189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3589061" y="16081174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145039</xdr:colOff>
      <xdr:row>145</xdr:row>
      <xdr:rowOff>156918</xdr:rowOff>
    </xdr:from>
    <xdr:to>
      <xdr:col>4</xdr:col>
      <xdr:colOff>344862</xdr:colOff>
      <xdr:row>147</xdr:row>
      <xdr:rowOff>103640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708130" y="31026577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208459</xdr:colOff>
      <xdr:row>50</xdr:row>
      <xdr:rowOff>152851</xdr:rowOff>
    </xdr:from>
    <xdr:to>
      <xdr:col>5</xdr:col>
      <xdr:colOff>208459</xdr:colOff>
      <xdr:row>53</xdr:row>
      <xdr:rowOff>103865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E6243530-619A-41E9-9527-6964E6FDD0BE}"/>
            </a:ext>
          </a:extLst>
        </xdr:cNvPr>
        <xdr:cNvCxnSpPr/>
      </xdr:nvCxnSpPr>
      <xdr:spPr>
        <a:xfrm>
          <a:off x="3529785" y="11566286"/>
          <a:ext cx="0" cy="969775"/>
        </a:xfrm>
        <a:prstGeom prst="line">
          <a:avLst/>
        </a:prstGeom>
        <a:ln w="3810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351839</xdr:colOff>
      <xdr:row>217</xdr:row>
      <xdr:rowOff>101399</xdr:rowOff>
    </xdr:from>
    <xdr:to>
      <xdr:col>4</xdr:col>
      <xdr:colOff>551662</xdr:colOff>
      <xdr:row>219</xdr:row>
      <xdr:rowOff>48121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1F449DB5-2B19-41BE-8C11-A36D9E22AA21}"/>
            </a:ext>
          </a:extLst>
        </xdr:cNvPr>
        <xdr:cNvSpPr/>
      </xdr:nvSpPr>
      <xdr:spPr>
        <a:xfrm rot="1822670">
          <a:off x="2917986" y="44835281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240289</xdr:colOff>
      <xdr:row>288</xdr:row>
      <xdr:rowOff>44352</xdr:rowOff>
    </xdr:from>
    <xdr:to>
      <xdr:col>4</xdr:col>
      <xdr:colOff>440112</xdr:colOff>
      <xdr:row>289</xdr:row>
      <xdr:rowOff>181574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339978D-5904-4448-8D0C-31957198752A}"/>
            </a:ext>
          </a:extLst>
        </xdr:cNvPr>
        <xdr:cNvSpPr/>
      </xdr:nvSpPr>
      <xdr:spPr>
        <a:xfrm rot="1822670">
          <a:off x="2803380" y="58346011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415637</xdr:colOff>
      <xdr:row>495</xdr:row>
      <xdr:rowOff>0</xdr:rowOff>
    </xdr:from>
    <xdr:to>
      <xdr:col>1</xdr:col>
      <xdr:colOff>564723</xdr:colOff>
      <xdr:row>496</xdr:row>
      <xdr:rowOff>137222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8A731B4B-3C8C-45A2-8E53-B306B94A7ED2}"/>
            </a:ext>
          </a:extLst>
        </xdr:cNvPr>
        <xdr:cNvSpPr/>
      </xdr:nvSpPr>
      <xdr:spPr>
        <a:xfrm>
          <a:off x="692728" y="98020909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536864</xdr:colOff>
      <xdr:row>423</xdr:row>
      <xdr:rowOff>173182</xdr:rowOff>
    </xdr:from>
    <xdr:to>
      <xdr:col>1</xdr:col>
      <xdr:colOff>685950</xdr:colOff>
      <xdr:row>425</xdr:row>
      <xdr:rowOff>119904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83E72367-E8A6-44E9-93B5-644213C596F7}"/>
            </a:ext>
          </a:extLst>
        </xdr:cNvPr>
        <xdr:cNvSpPr/>
      </xdr:nvSpPr>
      <xdr:spPr>
        <a:xfrm>
          <a:off x="813955" y="84382841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666750</xdr:colOff>
      <xdr:row>353</xdr:row>
      <xdr:rowOff>0</xdr:rowOff>
    </xdr:from>
    <xdr:to>
      <xdr:col>2</xdr:col>
      <xdr:colOff>53836</xdr:colOff>
      <xdr:row>354</xdr:row>
      <xdr:rowOff>137222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E2F0C5E6-7C56-4777-9E1C-88311A6CAC7A}"/>
            </a:ext>
          </a:extLst>
        </xdr:cNvPr>
        <xdr:cNvSpPr/>
      </xdr:nvSpPr>
      <xdr:spPr>
        <a:xfrm>
          <a:off x="943841" y="70779409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sheetPr>
    <tabColor theme="5"/>
  </sheetPr>
  <dimension ref="B2:W553"/>
  <sheetViews>
    <sheetView tabSelected="1" topLeftCell="A71" zoomScale="85" zoomScaleNormal="85" zoomScaleSheetLayoutView="145" workbookViewId="0">
      <selection activeCell="I25" sqref="I25:M25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66" t="s">
        <v>6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2:13" x14ac:dyDescent="0.25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2:13" ht="15.75" thickBot="1" x14ac:dyDescent="0.3"/>
    <row r="5" spans="2:13" ht="15.75" x14ac:dyDescent="0.25">
      <c r="B5" s="167"/>
      <c r="C5" s="168"/>
      <c r="D5" s="169"/>
      <c r="E5" s="185" t="s">
        <v>7</v>
      </c>
      <c r="F5" s="186"/>
      <c r="G5" s="187"/>
      <c r="H5" s="150" t="s">
        <v>409</v>
      </c>
      <c r="I5" s="151"/>
      <c r="J5" s="151"/>
      <c r="K5" s="151"/>
      <c r="L5" s="152" t="s">
        <v>19</v>
      </c>
      <c r="M5" s="153"/>
    </row>
    <row r="6" spans="2:13" ht="15" customHeight="1" x14ac:dyDescent="0.25">
      <c r="B6" s="170"/>
      <c r="C6" s="171"/>
      <c r="D6" s="172"/>
      <c r="E6" s="176" t="s">
        <v>8</v>
      </c>
      <c r="F6" s="120"/>
      <c r="G6" s="121"/>
      <c r="H6" s="154" t="s">
        <v>11</v>
      </c>
      <c r="I6" s="155"/>
      <c r="J6" s="155"/>
      <c r="K6" s="155"/>
      <c r="L6" s="156" t="s">
        <v>491</v>
      </c>
      <c r="M6" s="157"/>
    </row>
    <row r="7" spans="2:13" ht="15" customHeight="1" x14ac:dyDescent="0.25">
      <c r="B7" s="170"/>
      <c r="C7" s="171"/>
      <c r="D7" s="172"/>
      <c r="E7" s="176" t="s">
        <v>10</v>
      </c>
      <c r="F7" s="120"/>
      <c r="G7" s="121"/>
      <c r="H7" s="154" t="s">
        <v>12</v>
      </c>
      <c r="I7" s="155"/>
      <c r="J7" s="155"/>
      <c r="K7" s="155"/>
      <c r="L7" s="158"/>
      <c r="M7" s="159"/>
    </row>
    <row r="8" spans="2:13" ht="15.75" customHeight="1" thickBot="1" x14ac:dyDescent="0.3">
      <c r="B8" s="173"/>
      <c r="C8" s="174"/>
      <c r="D8" s="175"/>
      <c r="E8" s="182" t="s">
        <v>9</v>
      </c>
      <c r="F8" s="183"/>
      <c r="G8" s="184"/>
      <c r="H8" s="164" t="s">
        <v>494</v>
      </c>
      <c r="I8" s="165"/>
      <c r="J8" s="165"/>
      <c r="K8" s="165"/>
      <c r="L8" s="160"/>
      <c r="M8" s="161"/>
    </row>
    <row r="9" spans="2:13" ht="15.75" thickBot="1" x14ac:dyDescent="0.3"/>
    <row r="10" spans="2:13" ht="21" customHeight="1" x14ac:dyDescent="0.25">
      <c r="B10" s="136" t="s">
        <v>5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8"/>
    </row>
    <row r="11" spans="2:13" x14ac:dyDescent="0.25">
      <c r="B11" s="189" t="s">
        <v>495</v>
      </c>
      <c r="C11" s="190"/>
      <c r="D11" s="190"/>
      <c r="E11" s="190"/>
      <c r="F11" s="190"/>
      <c r="G11" s="190"/>
      <c r="H11" s="190" t="s">
        <v>496</v>
      </c>
      <c r="I11" s="190"/>
      <c r="J11" s="190"/>
      <c r="K11" s="190"/>
      <c r="L11" s="190"/>
      <c r="M11" s="191"/>
    </row>
    <row r="12" spans="2:13" x14ac:dyDescent="0.25">
      <c r="B12" s="94" t="s">
        <v>452</v>
      </c>
      <c r="C12" s="198" t="s">
        <v>453</v>
      </c>
      <c r="D12" s="198"/>
      <c r="E12" s="198"/>
      <c r="F12" s="198"/>
      <c r="G12" s="198"/>
      <c r="H12" s="92" t="s">
        <v>452</v>
      </c>
      <c r="I12" s="198" t="s">
        <v>453</v>
      </c>
      <c r="J12" s="198"/>
      <c r="K12" s="198"/>
      <c r="L12" s="198"/>
      <c r="M12" s="199"/>
    </row>
    <row r="13" spans="2:13" x14ac:dyDescent="0.25">
      <c r="B13" s="95" t="s">
        <v>454</v>
      </c>
      <c r="C13" s="192" t="s">
        <v>489</v>
      </c>
      <c r="D13" s="192"/>
      <c r="E13" s="192"/>
      <c r="F13" s="192"/>
      <c r="G13" s="192"/>
      <c r="H13" s="93" t="s">
        <v>454</v>
      </c>
      <c r="I13" s="192" t="s">
        <v>479</v>
      </c>
      <c r="J13" s="192"/>
      <c r="K13" s="192"/>
      <c r="L13" s="192"/>
      <c r="M13" s="200"/>
    </row>
    <row r="14" spans="2:13" x14ac:dyDescent="0.25">
      <c r="B14" s="95" t="s">
        <v>455</v>
      </c>
      <c r="C14" s="192" t="s">
        <v>489</v>
      </c>
      <c r="D14" s="192"/>
      <c r="E14" s="192"/>
      <c r="F14" s="192"/>
      <c r="G14" s="192"/>
      <c r="H14" s="93" t="s">
        <v>455</v>
      </c>
      <c r="I14" s="192" t="s">
        <v>479</v>
      </c>
      <c r="J14" s="192"/>
      <c r="K14" s="192"/>
      <c r="L14" s="192"/>
      <c r="M14" s="200"/>
    </row>
    <row r="15" spans="2:13" x14ac:dyDescent="0.25">
      <c r="B15" s="95" t="s">
        <v>451</v>
      </c>
      <c r="C15" s="176" t="s">
        <v>504</v>
      </c>
      <c r="D15" s="120"/>
      <c r="E15" s="120"/>
      <c r="F15" s="120"/>
      <c r="G15" s="121"/>
      <c r="H15" s="93" t="s">
        <v>451</v>
      </c>
      <c r="I15" s="192" t="s">
        <v>480</v>
      </c>
      <c r="J15" s="192"/>
      <c r="K15" s="192"/>
      <c r="L15" s="192"/>
      <c r="M15" s="200"/>
    </row>
    <row r="16" spans="2:13" x14ac:dyDescent="0.25">
      <c r="B16" s="95" t="s">
        <v>457</v>
      </c>
      <c r="C16" s="192" t="s">
        <v>505</v>
      </c>
      <c r="D16" s="192"/>
      <c r="E16" s="192"/>
      <c r="F16" s="192"/>
      <c r="G16" s="192"/>
      <c r="H16" s="93" t="s">
        <v>451</v>
      </c>
      <c r="I16" s="192" t="s">
        <v>481</v>
      </c>
      <c r="J16" s="192"/>
      <c r="K16" s="192"/>
      <c r="L16" s="192"/>
      <c r="M16" s="200"/>
    </row>
    <row r="17" spans="2:13" x14ac:dyDescent="0.25">
      <c r="B17" s="95" t="s">
        <v>457</v>
      </c>
      <c r="C17" s="192" t="s">
        <v>506</v>
      </c>
      <c r="D17" s="192"/>
      <c r="E17" s="192"/>
      <c r="F17" s="192"/>
      <c r="G17" s="192"/>
      <c r="H17" s="93" t="s">
        <v>458</v>
      </c>
      <c r="I17" s="192" t="s">
        <v>490</v>
      </c>
      <c r="J17" s="192"/>
      <c r="K17" s="192"/>
      <c r="L17" s="192"/>
      <c r="M17" s="200"/>
    </row>
    <row r="18" spans="2:13" x14ac:dyDescent="0.25">
      <c r="B18" s="95" t="s">
        <v>457</v>
      </c>
      <c r="C18" s="192" t="s">
        <v>507</v>
      </c>
      <c r="D18" s="192"/>
      <c r="E18" s="192"/>
      <c r="F18" s="192"/>
      <c r="G18" s="192"/>
      <c r="H18" s="93" t="s">
        <v>458</v>
      </c>
      <c r="I18" s="176" t="s">
        <v>423</v>
      </c>
      <c r="J18" s="120"/>
      <c r="K18" s="120"/>
      <c r="L18" s="120"/>
      <c r="M18" s="240"/>
    </row>
    <row r="19" spans="2:13" x14ac:dyDescent="0.25">
      <c r="B19" s="95" t="s">
        <v>456</v>
      </c>
      <c r="C19" s="192" t="s">
        <v>505</v>
      </c>
      <c r="D19" s="192"/>
      <c r="E19" s="192"/>
      <c r="F19" s="192"/>
      <c r="G19" s="192"/>
      <c r="H19" s="93" t="s">
        <v>457</v>
      </c>
      <c r="I19" s="176" t="s">
        <v>466</v>
      </c>
      <c r="J19" s="120"/>
      <c r="K19" s="120"/>
      <c r="L19" s="120"/>
      <c r="M19" s="240"/>
    </row>
    <row r="20" spans="2:13" x14ac:dyDescent="0.25">
      <c r="B20" s="95"/>
      <c r="C20" s="192"/>
      <c r="D20" s="192"/>
      <c r="E20" s="192"/>
      <c r="F20" s="192"/>
      <c r="G20" s="192"/>
      <c r="H20" s="93" t="s">
        <v>457</v>
      </c>
      <c r="I20" s="176" t="s">
        <v>470</v>
      </c>
      <c r="J20" s="120"/>
      <c r="K20" s="120"/>
      <c r="L20" s="120"/>
      <c r="M20" s="240"/>
    </row>
    <row r="21" spans="2:13" x14ac:dyDescent="0.25">
      <c r="B21" s="95"/>
      <c r="C21" s="192"/>
      <c r="D21" s="192"/>
      <c r="E21" s="192"/>
      <c r="F21" s="192"/>
      <c r="G21" s="192"/>
      <c r="H21" s="93" t="s">
        <v>457</v>
      </c>
      <c r="I21" s="176" t="s">
        <v>423</v>
      </c>
      <c r="J21" s="120"/>
      <c r="K21" s="120"/>
      <c r="L21" s="120"/>
      <c r="M21" s="240"/>
    </row>
    <row r="22" spans="2:13" x14ac:dyDescent="0.25">
      <c r="B22" s="95"/>
      <c r="C22" s="192"/>
      <c r="D22" s="192"/>
      <c r="E22" s="192"/>
      <c r="F22" s="192"/>
      <c r="G22" s="192"/>
      <c r="H22" s="93" t="s">
        <v>456</v>
      </c>
      <c r="I22" s="176" t="s">
        <v>469</v>
      </c>
      <c r="J22" s="120"/>
      <c r="K22" s="120"/>
      <c r="L22" s="120"/>
      <c r="M22" s="240"/>
    </row>
    <row r="23" spans="2:13" x14ac:dyDescent="0.25">
      <c r="B23" s="95"/>
      <c r="C23" s="192"/>
      <c r="D23" s="192"/>
      <c r="E23" s="192"/>
      <c r="F23" s="192"/>
      <c r="G23" s="192"/>
      <c r="H23" s="93" t="s">
        <v>456</v>
      </c>
      <c r="I23" s="176" t="s">
        <v>508</v>
      </c>
      <c r="J23" s="120"/>
      <c r="K23" s="120"/>
      <c r="L23" s="120"/>
      <c r="M23" s="240"/>
    </row>
    <row r="24" spans="2:13" x14ac:dyDescent="0.25">
      <c r="B24" s="95"/>
      <c r="C24" s="192"/>
      <c r="D24" s="192"/>
      <c r="E24" s="192"/>
      <c r="F24" s="192"/>
      <c r="G24" s="192"/>
      <c r="H24" s="93" t="s">
        <v>456</v>
      </c>
      <c r="I24" s="176" t="s">
        <v>423</v>
      </c>
      <c r="J24" s="120"/>
      <c r="K24" s="120"/>
      <c r="L24" s="120"/>
      <c r="M24" s="240"/>
    </row>
    <row r="25" spans="2:13" x14ac:dyDescent="0.25">
      <c r="B25" s="95"/>
      <c r="C25" s="192"/>
      <c r="D25" s="192"/>
      <c r="E25" s="192"/>
      <c r="F25" s="192"/>
      <c r="G25" s="192"/>
      <c r="H25" s="93"/>
      <c r="I25" s="192"/>
      <c r="J25" s="192"/>
      <c r="K25" s="192"/>
      <c r="L25" s="192"/>
      <c r="M25" s="200"/>
    </row>
    <row r="26" spans="2:13" x14ac:dyDescent="0.25">
      <c r="B26" s="95"/>
      <c r="C26" s="192"/>
      <c r="D26" s="192"/>
      <c r="E26" s="192"/>
      <c r="F26" s="192"/>
      <c r="G26" s="192"/>
      <c r="H26" s="93"/>
      <c r="I26" s="192"/>
      <c r="J26" s="192"/>
      <c r="K26" s="192"/>
      <c r="L26" s="192"/>
      <c r="M26" s="200"/>
    </row>
    <row r="27" spans="2:13" ht="15.75" thickBot="1" x14ac:dyDescent="0.3">
      <c r="B27" s="194"/>
      <c r="C27" s="195"/>
      <c r="D27" s="195"/>
      <c r="E27" s="195"/>
      <c r="F27" s="195"/>
      <c r="G27" s="195"/>
      <c r="H27" s="135"/>
      <c r="I27" s="135"/>
      <c r="J27" s="135"/>
      <c r="K27" s="135"/>
      <c r="L27" s="135"/>
      <c r="M27" s="193"/>
    </row>
    <row r="28" spans="2:13" ht="15.75" thickBot="1" x14ac:dyDescent="0.3"/>
    <row r="29" spans="2:13" ht="25.5" customHeight="1" x14ac:dyDescent="0.25">
      <c r="B29" s="197" t="s">
        <v>17</v>
      </c>
      <c r="C29" s="188"/>
      <c r="D29" s="188"/>
      <c r="E29" s="188"/>
      <c r="F29" s="188"/>
      <c r="G29" s="188"/>
      <c r="H29" s="188" t="s">
        <v>14</v>
      </c>
      <c r="I29" s="188"/>
      <c r="J29" s="188" t="s">
        <v>15</v>
      </c>
      <c r="K29" s="188"/>
      <c r="L29" s="188" t="s">
        <v>16</v>
      </c>
      <c r="M29" s="196"/>
    </row>
    <row r="30" spans="2:13" x14ac:dyDescent="0.25">
      <c r="B30" s="132"/>
      <c r="C30" s="133"/>
      <c r="D30" s="133"/>
      <c r="E30" s="133"/>
      <c r="F30" s="133"/>
      <c r="G30" s="133"/>
      <c r="H30" s="111"/>
      <c r="I30" s="111"/>
      <c r="J30" s="112"/>
      <c r="K30" s="113"/>
      <c r="L30" s="114"/>
      <c r="M30" s="115"/>
    </row>
    <row r="31" spans="2:13" x14ac:dyDescent="0.25">
      <c r="B31" s="132"/>
      <c r="C31" s="133"/>
      <c r="D31" s="133"/>
      <c r="E31" s="133"/>
      <c r="F31" s="133"/>
      <c r="G31" s="133"/>
      <c r="H31" s="111"/>
      <c r="I31" s="111"/>
      <c r="J31" s="112"/>
      <c r="K31" s="113"/>
      <c r="L31" s="114"/>
      <c r="M31" s="115"/>
    </row>
    <row r="32" spans="2:13" x14ac:dyDescent="0.25">
      <c r="B32" s="132"/>
      <c r="C32" s="133"/>
      <c r="D32" s="133"/>
      <c r="E32" s="133"/>
      <c r="F32" s="133"/>
      <c r="G32" s="133"/>
      <c r="H32" s="111"/>
      <c r="I32" s="111"/>
      <c r="J32" s="112"/>
      <c r="K32" s="113"/>
      <c r="L32" s="114"/>
      <c r="M32" s="115"/>
    </row>
    <row r="33" spans="2:23" ht="15" customHeight="1" x14ac:dyDescent="0.25">
      <c r="B33" s="132"/>
      <c r="C33" s="133"/>
      <c r="D33" s="133"/>
      <c r="E33" s="133"/>
      <c r="F33" s="133"/>
      <c r="G33" s="133"/>
      <c r="H33" s="111"/>
      <c r="I33" s="111"/>
      <c r="J33" s="112"/>
      <c r="K33" s="113"/>
      <c r="L33" s="114"/>
      <c r="M33" s="115"/>
      <c r="O33" s="83"/>
    </row>
    <row r="34" spans="2:23" x14ac:dyDescent="0.25">
      <c r="B34" s="132"/>
      <c r="C34" s="133"/>
      <c r="D34" s="133"/>
      <c r="E34" s="133"/>
      <c r="F34" s="133"/>
      <c r="G34" s="133"/>
      <c r="H34" s="111"/>
      <c r="I34" s="111"/>
      <c r="J34" s="112"/>
      <c r="K34" s="113"/>
      <c r="L34" s="114"/>
      <c r="M34" s="115"/>
      <c r="O34" s="83"/>
    </row>
    <row r="35" spans="2:23" x14ac:dyDescent="0.25">
      <c r="B35" s="132"/>
      <c r="C35" s="133"/>
      <c r="D35" s="133"/>
      <c r="E35" s="133"/>
      <c r="F35" s="133"/>
      <c r="G35" s="133"/>
      <c r="H35" s="111"/>
      <c r="I35" s="111"/>
      <c r="J35" s="112"/>
      <c r="K35" s="113"/>
      <c r="L35" s="114"/>
      <c r="M35" s="115"/>
    </row>
    <row r="36" spans="2:23" ht="15.75" thickBot="1" x14ac:dyDescent="0.3">
      <c r="B36" s="134"/>
      <c r="C36" s="135"/>
      <c r="D36" s="135"/>
      <c r="E36" s="135"/>
      <c r="F36" s="135"/>
      <c r="G36" s="135"/>
      <c r="H36" s="139"/>
      <c r="I36" s="139"/>
      <c r="J36" s="140"/>
      <c r="K36" s="141"/>
      <c r="L36" s="142"/>
      <c r="M36" s="143"/>
    </row>
    <row r="37" spans="2:23" ht="15.75" thickBot="1" x14ac:dyDescent="0.3">
      <c r="O37" s="83"/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144" t="s">
        <v>2</v>
      </c>
      <c r="K38" s="144"/>
      <c r="L38" s="144"/>
      <c r="M38" s="145"/>
      <c r="O38" s="84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3"/>
    </row>
    <row r="40" spans="2:23" s="2" customFormat="1" ht="27" customHeight="1" x14ac:dyDescent="0.25">
      <c r="B40" s="23" t="s">
        <v>408</v>
      </c>
      <c r="C40" s="7"/>
      <c r="D40" s="7"/>
      <c r="E40" s="7"/>
      <c r="F40" s="8"/>
      <c r="G40" s="11"/>
      <c r="H40" s="11"/>
      <c r="I40" s="12"/>
      <c r="J40" s="180"/>
      <c r="K40" s="180"/>
      <c r="L40" s="180"/>
      <c r="M40" s="181"/>
      <c r="O40" s="84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75</v>
      </c>
      <c r="C41" s="9"/>
      <c r="D41" s="9"/>
      <c r="E41" s="9"/>
      <c r="F41" s="10"/>
      <c r="G41" s="13"/>
      <c r="H41" s="13"/>
      <c r="I41" s="14"/>
      <c r="J41" s="148"/>
      <c r="K41" s="148"/>
      <c r="L41" s="148"/>
      <c r="M41" s="149"/>
      <c r="O41" s="84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</f>
        <v>0.3215776774477766</v>
      </c>
      <c r="H42" s="42">
        <f>+AVANCES!F6</f>
        <v>0.19731815308010175</v>
      </c>
      <c r="I42" s="67">
        <f>+H42-G42</f>
        <v>-0.12425952436767485</v>
      </c>
      <c r="J42" s="146"/>
      <c r="K42" s="146"/>
      <c r="L42" s="146"/>
      <c r="M42" s="147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8">
        <f>+AVANCES!E260</f>
        <v>0.22980962593446999</v>
      </c>
      <c r="H43" s="78">
        <f>+AVANCES!F260</f>
        <v>0.1376469583038708</v>
      </c>
      <c r="I43" s="67">
        <f>+H43-G43</f>
        <v>-9.2162667630599188E-2</v>
      </c>
      <c r="J43" s="146"/>
      <c r="K43" s="146"/>
      <c r="L43" s="146"/>
      <c r="M43" s="147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8">
        <f>+AVANCES!E560</f>
        <v>0.2125280929139384</v>
      </c>
      <c r="H44" s="78">
        <f>+AVANCES!F560</f>
        <v>0.13824485237306652</v>
      </c>
      <c r="I44" s="67">
        <f>+H44-G44</f>
        <v>-7.4283240540871875E-2</v>
      </c>
      <c r="J44" s="146"/>
      <c r="K44" s="146"/>
      <c r="L44" s="146"/>
      <c r="M44" s="147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22 M-663 CORSAC-B</v>
      </c>
      <c r="C45" s="5"/>
      <c r="D45" s="5"/>
      <c r="E45" s="5"/>
      <c r="F45" s="6"/>
      <c r="G45" s="42">
        <f>+AVANCES!E860</f>
        <v>0.10925720278540797</v>
      </c>
      <c r="H45" s="42">
        <f>+AVANCES!F860</f>
        <v>8.8439239037491971E-2</v>
      </c>
      <c r="I45" s="67">
        <f>+H45-G45</f>
        <v>-2.0817963747916002E-2</v>
      </c>
      <c r="J45" s="146"/>
      <c r="K45" s="146"/>
      <c r="L45" s="146"/>
      <c r="M45" s="147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+AVANCES!B1160</f>
        <v>LOTE 21 M-663 CORSAC-A</v>
      </c>
      <c r="C46" s="5"/>
      <c r="D46" s="5"/>
      <c r="E46" s="5"/>
      <c r="F46" s="6"/>
      <c r="G46" s="78">
        <f>+AVANCES!E1160</f>
        <v>7.9901913245583628E-2</v>
      </c>
      <c r="H46" s="78">
        <f>+AVANCES!F1160</f>
        <v>6.1437970221942355E-2</v>
      </c>
      <c r="I46" s="67">
        <f>+H46-G46</f>
        <v>-1.8463943023641273E-2</v>
      </c>
      <c r="J46" s="146"/>
      <c r="K46" s="146"/>
      <c r="L46" s="146"/>
      <c r="M46" s="147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+AVANCES!B1460</f>
        <v>LOTE 20 M-663 ARTICO-A</v>
      </c>
      <c r="C47" s="5"/>
      <c r="D47" s="5"/>
      <c r="E47" s="5"/>
      <c r="F47" s="6"/>
      <c r="G47" s="78">
        <f>+AVANCES!E1460</f>
        <v>4.2489367298644498E-2</v>
      </c>
      <c r="H47" s="78">
        <f>+AVANCES!F1460</f>
        <v>1.7571063351255748E-2</v>
      </c>
      <c r="I47" s="67">
        <f t="shared" ref="I47" si="0">+H47-G47</f>
        <v>-2.491830394738875E-2</v>
      </c>
      <c r="J47" s="146"/>
      <c r="K47" s="146"/>
      <c r="L47" s="146"/>
      <c r="M47" s="147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162"/>
      <c r="K48" s="162"/>
      <c r="L48" s="162"/>
      <c r="M48" s="163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77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9"/>
    </row>
    <row r="50" spans="2:23" s="2" customFormat="1" ht="27" customHeight="1" x14ac:dyDescent="0.25">
      <c r="B50" s="241" t="s">
        <v>467</v>
      </c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3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66" t="s">
        <v>6</v>
      </c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</row>
    <row r="59" spans="2:23" x14ac:dyDescent="0.25"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</row>
    <row r="60" spans="2:23" ht="15.75" thickBot="1" x14ac:dyDescent="0.3"/>
    <row r="61" spans="2:23" ht="15.75" x14ac:dyDescent="0.25">
      <c r="B61" s="167"/>
      <c r="C61" s="168"/>
      <c r="D61" s="169"/>
      <c r="E61" s="185" t="s">
        <v>7</v>
      </c>
      <c r="F61" s="186"/>
      <c r="G61" s="187"/>
      <c r="H61" s="150" t="s">
        <v>409</v>
      </c>
      <c r="I61" s="151"/>
      <c r="J61" s="151"/>
      <c r="K61" s="151"/>
      <c r="L61" s="152" t="s">
        <v>19</v>
      </c>
      <c r="M61" s="153"/>
    </row>
    <row r="62" spans="2:23" ht="15" customHeight="1" x14ac:dyDescent="0.25">
      <c r="B62" s="170"/>
      <c r="C62" s="171"/>
      <c r="D62" s="172"/>
      <c r="E62" s="176" t="s">
        <v>8</v>
      </c>
      <c r="F62" s="120"/>
      <c r="G62" s="121"/>
      <c r="H62" s="154" t="s">
        <v>11</v>
      </c>
      <c r="I62" s="155"/>
      <c r="J62" s="155"/>
      <c r="K62" s="155"/>
      <c r="L62" s="156" t="s">
        <v>491</v>
      </c>
      <c r="M62" s="157"/>
    </row>
    <row r="63" spans="2:23" ht="15" customHeight="1" x14ac:dyDescent="0.25">
      <c r="B63" s="170"/>
      <c r="C63" s="171"/>
      <c r="D63" s="172"/>
      <c r="E63" s="176" t="s">
        <v>10</v>
      </c>
      <c r="F63" s="120"/>
      <c r="G63" s="121"/>
      <c r="H63" s="154" t="s">
        <v>12</v>
      </c>
      <c r="I63" s="155"/>
      <c r="J63" s="155"/>
      <c r="K63" s="155"/>
      <c r="L63" s="158"/>
      <c r="M63" s="159"/>
    </row>
    <row r="64" spans="2:23" ht="15.75" customHeight="1" thickBot="1" x14ac:dyDescent="0.3">
      <c r="B64" s="173"/>
      <c r="C64" s="174"/>
      <c r="D64" s="175"/>
      <c r="E64" s="182" t="s">
        <v>9</v>
      </c>
      <c r="F64" s="183"/>
      <c r="G64" s="184"/>
      <c r="H64" s="164" t="s">
        <v>494</v>
      </c>
      <c r="I64" s="165"/>
      <c r="J64" s="165"/>
      <c r="K64" s="165"/>
      <c r="L64" s="160"/>
      <c r="M64" s="161"/>
    </row>
    <row r="65" spans="2:13" ht="15.75" thickBot="1" x14ac:dyDescent="0.3"/>
    <row r="66" spans="2:13" ht="18.75" x14ac:dyDescent="0.25">
      <c r="B66" s="136" t="s">
        <v>13</v>
      </c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8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220" t="s">
        <v>492</v>
      </c>
      <c r="D93" s="221"/>
      <c r="E93" s="221"/>
      <c r="F93" s="222"/>
      <c r="G93" s="204" t="s">
        <v>493</v>
      </c>
      <c r="H93" s="205"/>
      <c r="I93" s="205"/>
      <c r="J93" s="206"/>
      <c r="K93" s="210" t="s">
        <v>4</v>
      </c>
      <c r="L93" s="211"/>
      <c r="M93" s="17"/>
    </row>
    <row r="94" spans="2:18" x14ac:dyDescent="0.25">
      <c r="B94" s="16"/>
      <c r="C94" s="201">
        <f>+'CURVA S BASE'!M7</f>
        <v>2192434.6768</v>
      </c>
      <c r="D94" s="202"/>
      <c r="E94" s="202"/>
      <c r="F94" s="203"/>
      <c r="G94" s="207">
        <f>+AVANCES!H4</f>
        <v>1406797.4580000001</v>
      </c>
      <c r="H94" s="208"/>
      <c r="I94" s="208"/>
      <c r="J94" s="209"/>
      <c r="K94" s="212">
        <f>+G94-C94</f>
        <v>-785637.21879999992</v>
      </c>
      <c r="L94" s="213"/>
      <c r="M94" s="17"/>
    </row>
    <row r="95" spans="2:18" x14ac:dyDescent="0.25">
      <c r="B95" s="16"/>
      <c r="C95" s="214">
        <f>+C94/'CURVA S BASE'!B16</f>
        <v>0.16839856276327425</v>
      </c>
      <c r="D95" s="215"/>
      <c r="E95" s="215"/>
      <c r="F95" s="216"/>
      <c r="G95" s="217">
        <f>+AVANCES!F4</f>
        <v>0.10670392626650108</v>
      </c>
      <c r="H95" s="218"/>
      <c r="I95" s="218"/>
      <c r="J95" s="219"/>
      <c r="K95" s="223">
        <f>+G95-C95</f>
        <v>-6.1694636496773175E-2</v>
      </c>
      <c r="L95" s="224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4">
        <f>+'CURVA S BASE'!B16</f>
        <v>13019319.410000002</v>
      </c>
      <c r="Q97" s="75"/>
    </row>
    <row r="98" spans="2:17" x14ac:dyDescent="0.25">
      <c r="B98" s="16"/>
      <c r="M98" s="17"/>
      <c r="P98" s="75" t="s">
        <v>47</v>
      </c>
      <c r="Q98" s="75"/>
    </row>
    <row r="99" spans="2:17" x14ac:dyDescent="0.25">
      <c r="B99" s="16"/>
      <c r="M99" s="17"/>
      <c r="P99" s="76">
        <f>+REPORTE!C95</f>
        <v>0.16839856276327425</v>
      </c>
      <c r="Q99" s="77">
        <f>100%-P99</f>
        <v>0.83160143723672575</v>
      </c>
    </row>
    <row r="100" spans="2:17" x14ac:dyDescent="0.25">
      <c r="B100" s="16"/>
      <c r="M100" s="17"/>
      <c r="P100" s="75" t="s">
        <v>51</v>
      </c>
      <c r="Q100" s="76" t="s">
        <v>52</v>
      </c>
    </row>
    <row r="101" spans="2:17" x14ac:dyDescent="0.25">
      <c r="B101" s="16"/>
      <c r="M101" s="17"/>
      <c r="P101" s="75"/>
      <c r="Q101" s="76"/>
    </row>
    <row r="102" spans="2:17" x14ac:dyDescent="0.25">
      <c r="B102" s="16"/>
      <c r="M102" s="17"/>
      <c r="P102" s="75"/>
      <c r="Q102" s="76"/>
    </row>
    <row r="103" spans="2:17" x14ac:dyDescent="0.25">
      <c r="B103" s="16"/>
      <c r="M103" s="17"/>
      <c r="P103" s="75" t="s">
        <v>55</v>
      </c>
      <c r="Q103" s="76"/>
    </row>
    <row r="104" spans="2:17" x14ac:dyDescent="0.25">
      <c r="B104" s="16"/>
      <c r="M104" s="17"/>
      <c r="P104" s="76">
        <f>+G95</f>
        <v>0.10670392626650108</v>
      </c>
      <c r="Q104" s="77">
        <f>100%-P104</f>
        <v>0.89329607373349895</v>
      </c>
    </row>
    <row r="105" spans="2:17" x14ac:dyDescent="0.25">
      <c r="B105" s="16"/>
      <c r="M105" s="17"/>
      <c r="P105" s="75" t="s">
        <v>53</v>
      </c>
      <c r="Q105" s="75" t="s">
        <v>52</v>
      </c>
    </row>
    <row r="106" spans="2:17" x14ac:dyDescent="0.25">
      <c r="B106" s="16"/>
      <c r="M106" s="17"/>
      <c r="P106" s="75"/>
      <c r="Q106" s="75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28" t="s">
        <v>48</v>
      </c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30"/>
    </row>
    <row r="110" spans="2:17" x14ac:dyDescent="0.25">
      <c r="B110" s="225" t="s">
        <v>483</v>
      </c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7"/>
    </row>
    <row r="111" spans="2:17" x14ac:dyDescent="0.25">
      <c r="B111" s="128" t="s">
        <v>0</v>
      </c>
      <c r="C111" s="129"/>
      <c r="D111" s="129"/>
      <c r="E111" s="129"/>
      <c r="F111" s="129"/>
      <c r="G111" s="129"/>
      <c r="H111" s="129" t="s">
        <v>420</v>
      </c>
      <c r="I111" s="129"/>
      <c r="J111" s="129" t="s">
        <v>49</v>
      </c>
      <c r="K111" s="129"/>
      <c r="L111" s="129" t="s">
        <v>50</v>
      </c>
      <c r="M111" s="130"/>
    </row>
    <row r="112" spans="2:17" x14ac:dyDescent="0.25">
      <c r="B112" s="119"/>
      <c r="C112" s="120"/>
      <c r="D112" s="120"/>
      <c r="E112" s="120"/>
      <c r="F112" s="120"/>
      <c r="G112" s="121"/>
      <c r="H112" s="122"/>
      <c r="I112" s="123"/>
      <c r="J112" s="124"/>
      <c r="K112" s="125"/>
      <c r="L112" s="231"/>
      <c r="M112" s="232"/>
    </row>
    <row r="113" spans="2:13" x14ac:dyDescent="0.25">
      <c r="B113" s="119" t="s">
        <v>482</v>
      </c>
      <c r="C113" s="120"/>
      <c r="D113" s="120"/>
      <c r="E113" s="120"/>
      <c r="F113" s="120"/>
      <c r="G113" s="121"/>
      <c r="H113" s="122">
        <v>46225</v>
      </c>
      <c r="I113" s="123"/>
      <c r="J113" s="124" t="s">
        <v>498</v>
      </c>
      <c r="K113" s="125"/>
      <c r="L113" s="126" t="s">
        <v>412</v>
      </c>
      <c r="M113" s="127"/>
    </row>
    <row r="114" spans="2:13" x14ac:dyDescent="0.25">
      <c r="B114" s="119" t="s">
        <v>472</v>
      </c>
      <c r="C114" s="120"/>
      <c r="D114" s="120"/>
      <c r="E114" s="120"/>
      <c r="F114" s="120"/>
      <c r="G114" s="121"/>
      <c r="H114" s="122">
        <v>46224</v>
      </c>
      <c r="I114" s="123"/>
      <c r="J114" s="124" t="s">
        <v>413</v>
      </c>
      <c r="K114" s="125"/>
      <c r="L114" s="126" t="s">
        <v>412</v>
      </c>
      <c r="M114" s="127"/>
    </row>
    <row r="115" spans="2:13" x14ac:dyDescent="0.25">
      <c r="B115" s="119" t="s">
        <v>473</v>
      </c>
      <c r="C115" s="120"/>
      <c r="D115" s="120"/>
      <c r="E115" s="120"/>
      <c r="F115" s="120"/>
      <c r="G115" s="121"/>
      <c r="H115" s="122">
        <v>46224</v>
      </c>
      <c r="I115" s="123"/>
      <c r="J115" s="124" t="s">
        <v>413</v>
      </c>
      <c r="K115" s="125"/>
      <c r="L115" s="126" t="s">
        <v>412</v>
      </c>
      <c r="M115" s="127"/>
    </row>
    <row r="116" spans="2:13" x14ac:dyDescent="0.25">
      <c r="B116" s="119"/>
      <c r="C116" s="120"/>
      <c r="D116" s="120"/>
      <c r="E116" s="120"/>
      <c r="F116" s="120"/>
      <c r="G116" s="121"/>
      <c r="H116" s="122"/>
      <c r="I116" s="123"/>
      <c r="J116" s="124"/>
      <c r="K116" s="125"/>
      <c r="L116" s="126"/>
      <c r="M116" s="127"/>
    </row>
    <row r="117" spans="2:13" x14ac:dyDescent="0.25">
      <c r="B117" s="119"/>
      <c r="C117" s="120"/>
      <c r="D117" s="120"/>
      <c r="E117" s="120"/>
      <c r="F117" s="120"/>
      <c r="G117" s="121"/>
      <c r="H117" s="131"/>
      <c r="I117" s="131"/>
      <c r="J117" s="124"/>
      <c r="K117" s="125"/>
      <c r="L117" s="233"/>
      <c r="M117" s="234"/>
    </row>
    <row r="118" spans="2:13" x14ac:dyDescent="0.25">
      <c r="B118" s="189" t="s">
        <v>54</v>
      </c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1"/>
    </row>
    <row r="119" spans="2:13" x14ac:dyDescent="0.25">
      <c r="B119" s="128" t="s">
        <v>0</v>
      </c>
      <c r="C119" s="129"/>
      <c r="D119" s="129"/>
      <c r="E119" s="129"/>
      <c r="F119" s="129"/>
      <c r="G119" s="129"/>
      <c r="H119" s="129" t="s">
        <v>420</v>
      </c>
      <c r="I119" s="129"/>
      <c r="J119" s="129" t="s">
        <v>49</v>
      </c>
      <c r="K119" s="129"/>
      <c r="L119" s="245" t="s">
        <v>50</v>
      </c>
      <c r="M119" s="246"/>
    </row>
    <row r="120" spans="2:13" x14ac:dyDescent="0.25">
      <c r="B120" s="119"/>
      <c r="C120" s="120"/>
      <c r="D120" s="120"/>
      <c r="E120" s="120"/>
      <c r="F120" s="120"/>
      <c r="G120" s="121"/>
      <c r="H120" s="122"/>
      <c r="I120" s="123"/>
      <c r="J120" s="220"/>
      <c r="K120" s="222"/>
      <c r="L120" s="231"/>
      <c r="M120" s="232"/>
    </row>
    <row r="121" spans="2:13" x14ac:dyDescent="0.25">
      <c r="B121" s="119" t="s">
        <v>474</v>
      </c>
      <c r="C121" s="120"/>
      <c r="D121" s="120"/>
      <c r="E121" s="120"/>
      <c r="F121" s="120"/>
      <c r="G121" s="121"/>
      <c r="H121" s="122">
        <v>46230</v>
      </c>
      <c r="I121" s="123"/>
      <c r="J121" s="220" t="s">
        <v>411</v>
      </c>
      <c r="K121" s="222"/>
      <c r="L121" s="231" t="s">
        <v>412</v>
      </c>
      <c r="M121" s="232"/>
    </row>
    <row r="122" spans="2:13" x14ac:dyDescent="0.25">
      <c r="B122" s="119" t="s">
        <v>499</v>
      </c>
      <c r="C122" s="120"/>
      <c r="D122" s="120"/>
      <c r="E122" s="120"/>
      <c r="F122" s="120"/>
      <c r="G122" s="121"/>
      <c r="H122" s="122">
        <v>46230</v>
      </c>
      <c r="I122" s="123"/>
      <c r="J122" s="220" t="s">
        <v>411</v>
      </c>
      <c r="K122" s="222"/>
      <c r="L122" s="231" t="s">
        <v>412</v>
      </c>
      <c r="M122" s="232"/>
    </row>
    <row r="123" spans="2:13" x14ac:dyDescent="0.25">
      <c r="B123" s="119" t="s">
        <v>500</v>
      </c>
      <c r="C123" s="120"/>
      <c r="D123" s="120"/>
      <c r="E123" s="120"/>
      <c r="F123" s="120"/>
      <c r="G123" s="121"/>
      <c r="H123" s="122">
        <v>46230</v>
      </c>
      <c r="I123" s="123"/>
      <c r="J123" s="220" t="s">
        <v>411</v>
      </c>
      <c r="K123" s="222"/>
      <c r="L123" s="126" t="s">
        <v>421</v>
      </c>
      <c r="M123" s="127"/>
    </row>
    <row r="124" spans="2:13" x14ac:dyDescent="0.25">
      <c r="B124" s="119" t="s">
        <v>501</v>
      </c>
      <c r="C124" s="120"/>
      <c r="D124" s="120"/>
      <c r="E124" s="120"/>
      <c r="F124" s="120"/>
      <c r="G124" s="121"/>
      <c r="H124" s="122">
        <v>46230</v>
      </c>
      <c r="I124" s="123"/>
      <c r="J124" s="220" t="s">
        <v>411</v>
      </c>
      <c r="K124" s="222"/>
      <c r="L124" s="126" t="s">
        <v>421</v>
      </c>
      <c r="M124" s="127"/>
    </row>
    <row r="125" spans="2:13" x14ac:dyDescent="0.25">
      <c r="B125" s="119" t="s">
        <v>502</v>
      </c>
      <c r="C125" s="120"/>
      <c r="D125" s="120"/>
      <c r="E125" s="120"/>
      <c r="F125" s="120"/>
      <c r="G125" s="121"/>
      <c r="H125" s="249" t="s">
        <v>422</v>
      </c>
      <c r="I125" s="123"/>
      <c r="J125" s="220" t="s">
        <v>503</v>
      </c>
      <c r="K125" s="222"/>
      <c r="L125" s="126" t="s">
        <v>421</v>
      </c>
      <c r="M125" s="127"/>
    </row>
    <row r="126" spans="2:13" x14ac:dyDescent="0.25">
      <c r="B126" s="119"/>
      <c r="C126" s="120"/>
      <c r="D126" s="120"/>
      <c r="E126" s="120"/>
      <c r="F126" s="120"/>
      <c r="G126" s="121"/>
      <c r="H126" s="122"/>
      <c r="I126" s="123"/>
      <c r="J126" s="220"/>
      <c r="K126" s="222"/>
      <c r="L126" s="126"/>
      <c r="M126" s="127"/>
    </row>
    <row r="127" spans="2:13" ht="15.75" thickBot="1" x14ac:dyDescent="0.3">
      <c r="B127" s="235"/>
      <c r="C127" s="183"/>
      <c r="D127" s="183"/>
      <c r="E127" s="183"/>
      <c r="F127" s="183"/>
      <c r="G127" s="184"/>
      <c r="H127" s="236"/>
      <c r="I127" s="237"/>
      <c r="J127" s="238"/>
      <c r="K127" s="239"/>
      <c r="L127" s="247"/>
      <c r="M127" s="248"/>
    </row>
    <row r="129" spans="2:13" x14ac:dyDescent="0.25">
      <c r="B129" s="166" t="s">
        <v>6</v>
      </c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</row>
    <row r="130" spans="2:13" x14ac:dyDescent="0.25"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</row>
    <row r="131" spans="2:13" ht="15.75" thickBot="1" x14ac:dyDescent="0.3"/>
    <row r="132" spans="2:13" ht="15.75" x14ac:dyDescent="0.25">
      <c r="B132" s="167"/>
      <c r="C132" s="168"/>
      <c r="D132" s="169"/>
      <c r="E132" s="185" t="s">
        <v>7</v>
      </c>
      <c r="F132" s="186"/>
      <c r="G132" s="187"/>
      <c r="H132" s="150" t="s">
        <v>409</v>
      </c>
      <c r="I132" s="151"/>
      <c r="J132" s="151"/>
      <c r="K132" s="151"/>
      <c r="L132" s="152" t="s">
        <v>19</v>
      </c>
      <c r="M132" s="153"/>
    </row>
    <row r="133" spans="2:13" ht="15" customHeight="1" x14ac:dyDescent="0.25">
      <c r="B133" s="170"/>
      <c r="C133" s="171"/>
      <c r="D133" s="172"/>
      <c r="E133" s="176" t="s">
        <v>8</v>
      </c>
      <c r="F133" s="120"/>
      <c r="G133" s="121"/>
      <c r="H133" s="154" t="s">
        <v>11</v>
      </c>
      <c r="I133" s="155"/>
      <c r="J133" s="155"/>
      <c r="K133" s="155"/>
      <c r="L133" s="156" t="s">
        <v>491</v>
      </c>
      <c r="M133" s="157"/>
    </row>
    <row r="134" spans="2:13" ht="15" customHeight="1" x14ac:dyDescent="0.25">
      <c r="B134" s="170"/>
      <c r="C134" s="171"/>
      <c r="D134" s="172"/>
      <c r="E134" s="176" t="s">
        <v>10</v>
      </c>
      <c r="F134" s="120"/>
      <c r="G134" s="121"/>
      <c r="H134" s="154" t="s">
        <v>12</v>
      </c>
      <c r="I134" s="155"/>
      <c r="J134" s="155"/>
      <c r="K134" s="155"/>
      <c r="L134" s="158"/>
      <c r="M134" s="159"/>
    </row>
    <row r="135" spans="2:13" ht="15.75" customHeight="1" thickBot="1" x14ac:dyDescent="0.3">
      <c r="B135" s="173"/>
      <c r="C135" s="174"/>
      <c r="D135" s="175"/>
      <c r="E135" s="182" t="s">
        <v>9</v>
      </c>
      <c r="F135" s="183"/>
      <c r="G135" s="184"/>
      <c r="H135" s="164" t="s">
        <v>494</v>
      </c>
      <c r="I135" s="165"/>
      <c r="J135" s="165"/>
      <c r="K135" s="165"/>
      <c r="L135" s="160"/>
      <c r="M135" s="161"/>
    </row>
    <row r="136" spans="2:13" ht="15.75" thickBot="1" x14ac:dyDescent="0.3"/>
    <row r="137" spans="2:13" ht="18.75" x14ac:dyDescent="0.25">
      <c r="B137" s="136" t="s">
        <v>18</v>
      </c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8"/>
    </row>
    <row r="138" spans="2:13" x14ac:dyDescent="0.25">
      <c r="B138" s="116" t="s">
        <v>417</v>
      </c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8"/>
    </row>
    <row r="139" spans="2:13" x14ac:dyDescent="0.25">
      <c r="B139" s="116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8"/>
    </row>
    <row r="140" spans="2:13" x14ac:dyDescent="0.25">
      <c r="B140" s="16"/>
      <c r="M140" s="17"/>
    </row>
    <row r="141" spans="2:13" x14ac:dyDescent="0.25">
      <c r="B141" s="16"/>
      <c r="H141" s="81" t="s">
        <v>415</v>
      </c>
      <c r="K141" s="82">
        <f>+G42</f>
        <v>0.3215776774477766</v>
      </c>
      <c r="M141" s="17"/>
    </row>
    <row r="142" spans="2:13" x14ac:dyDescent="0.25">
      <c r="B142" s="16"/>
      <c r="H142" s="81" t="s">
        <v>416</v>
      </c>
      <c r="K142" s="82">
        <f>+H42</f>
        <v>0.19731815308010175</v>
      </c>
      <c r="L142" s="106" t="s">
        <v>471</v>
      </c>
      <c r="M142" s="107">
        <f>+K142-K141</f>
        <v>-0.12425952436767485</v>
      </c>
    </row>
    <row r="143" spans="2:13" x14ac:dyDescent="0.25">
      <c r="B143" s="16"/>
      <c r="M143" s="17"/>
    </row>
    <row r="144" spans="2:13" x14ac:dyDescent="0.25">
      <c r="B144" s="16"/>
      <c r="H144" s="81" t="s">
        <v>414</v>
      </c>
      <c r="M144" s="17"/>
    </row>
    <row r="145" spans="2:13" x14ac:dyDescent="0.25">
      <c r="B145" s="16"/>
      <c r="H145" s="1" t="s">
        <v>484</v>
      </c>
      <c r="M145" s="17"/>
    </row>
    <row r="146" spans="2:13" x14ac:dyDescent="0.25">
      <c r="B146" s="16"/>
      <c r="H146" s="1" t="s">
        <v>485</v>
      </c>
      <c r="M146" s="17"/>
    </row>
    <row r="147" spans="2:13" x14ac:dyDescent="0.25">
      <c r="B147" s="16"/>
      <c r="H147" s="1" t="s">
        <v>486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8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70"/>
    </row>
    <row r="168" spans="2:13" ht="15" customHeight="1" x14ac:dyDescent="0.25">
      <c r="B168" s="68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70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8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70"/>
    </row>
    <row r="198" spans="2:13" ht="15.75" customHeight="1" thickBot="1" x14ac:dyDescent="0.3">
      <c r="B198" s="71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3"/>
    </row>
    <row r="200" spans="2:13" x14ac:dyDescent="0.25">
      <c r="B200" s="166" t="s">
        <v>6</v>
      </c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</row>
    <row r="201" spans="2:13" x14ac:dyDescent="0.25"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</row>
    <row r="202" spans="2:13" ht="15.75" thickBot="1" x14ac:dyDescent="0.3"/>
    <row r="203" spans="2:13" ht="15.75" x14ac:dyDescent="0.25">
      <c r="B203" s="167"/>
      <c r="C203" s="168"/>
      <c r="D203" s="169"/>
      <c r="E203" s="185" t="s">
        <v>7</v>
      </c>
      <c r="F203" s="186"/>
      <c r="G203" s="187"/>
      <c r="H203" s="150" t="s">
        <v>409</v>
      </c>
      <c r="I203" s="151"/>
      <c r="J203" s="151"/>
      <c r="K203" s="151"/>
      <c r="L203" s="152" t="s">
        <v>19</v>
      </c>
      <c r="M203" s="153"/>
    </row>
    <row r="204" spans="2:13" ht="15" customHeight="1" x14ac:dyDescent="0.25">
      <c r="B204" s="170"/>
      <c r="C204" s="171"/>
      <c r="D204" s="172"/>
      <c r="E204" s="176" t="s">
        <v>8</v>
      </c>
      <c r="F204" s="120"/>
      <c r="G204" s="121"/>
      <c r="H204" s="154" t="s">
        <v>11</v>
      </c>
      <c r="I204" s="155"/>
      <c r="J204" s="155"/>
      <c r="K204" s="155"/>
      <c r="L204" s="156" t="s">
        <v>491</v>
      </c>
      <c r="M204" s="157"/>
    </row>
    <row r="205" spans="2:13" ht="15" customHeight="1" x14ac:dyDescent="0.25">
      <c r="B205" s="170"/>
      <c r="C205" s="171"/>
      <c r="D205" s="172"/>
      <c r="E205" s="176" t="s">
        <v>10</v>
      </c>
      <c r="F205" s="120"/>
      <c r="G205" s="121"/>
      <c r="H205" s="154" t="s">
        <v>12</v>
      </c>
      <c r="I205" s="155"/>
      <c r="J205" s="155"/>
      <c r="K205" s="155"/>
      <c r="L205" s="158"/>
      <c r="M205" s="159"/>
    </row>
    <row r="206" spans="2:13" ht="15.75" customHeight="1" thickBot="1" x14ac:dyDescent="0.3">
      <c r="B206" s="173"/>
      <c r="C206" s="174"/>
      <c r="D206" s="175"/>
      <c r="E206" s="182" t="s">
        <v>9</v>
      </c>
      <c r="F206" s="183"/>
      <c r="G206" s="184"/>
      <c r="H206" s="164" t="s">
        <v>494</v>
      </c>
      <c r="I206" s="165"/>
      <c r="J206" s="165"/>
      <c r="K206" s="165"/>
      <c r="L206" s="160"/>
      <c r="M206" s="161"/>
    </row>
    <row r="207" spans="2:13" ht="15.75" thickBot="1" x14ac:dyDescent="0.3"/>
    <row r="208" spans="2:13" ht="18.75" x14ac:dyDescent="0.25">
      <c r="B208" s="136" t="s">
        <v>18</v>
      </c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8"/>
    </row>
    <row r="209" spans="2:13" ht="15" customHeight="1" x14ac:dyDescent="0.25">
      <c r="B209" s="116" t="s">
        <v>418</v>
      </c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8"/>
    </row>
    <row r="210" spans="2:13" ht="15" customHeight="1" x14ac:dyDescent="0.25">
      <c r="B210" s="116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8"/>
    </row>
    <row r="211" spans="2:13" ht="15" customHeight="1" x14ac:dyDescent="0.25">
      <c r="B211" s="16"/>
      <c r="M211" s="17"/>
    </row>
    <row r="212" spans="2:13" x14ac:dyDescent="0.25">
      <c r="B212" s="16"/>
      <c r="H212" s="81" t="s">
        <v>415</v>
      </c>
      <c r="K212" s="82">
        <f>+G43</f>
        <v>0.22980962593446999</v>
      </c>
      <c r="M212" s="17"/>
    </row>
    <row r="213" spans="2:13" x14ac:dyDescent="0.25">
      <c r="B213" s="16"/>
      <c r="H213" s="81" t="s">
        <v>416</v>
      </c>
      <c r="K213" s="82">
        <f>+H43</f>
        <v>0.1376469583038708</v>
      </c>
      <c r="L213" s="106" t="s">
        <v>471</v>
      </c>
      <c r="M213" s="107">
        <f>+K213-K212</f>
        <v>-9.2162667630599188E-2</v>
      </c>
    </row>
    <row r="214" spans="2:13" x14ac:dyDescent="0.25">
      <c r="B214" s="16"/>
      <c r="M214" s="17"/>
    </row>
    <row r="215" spans="2:13" x14ac:dyDescent="0.25">
      <c r="B215" s="16"/>
      <c r="H215" s="81" t="s">
        <v>414</v>
      </c>
      <c r="M215" s="17"/>
    </row>
    <row r="216" spans="2:13" x14ac:dyDescent="0.25">
      <c r="B216" s="16"/>
      <c r="H216" s="1" t="s">
        <v>475</v>
      </c>
      <c r="M216" s="17"/>
    </row>
    <row r="217" spans="2:13" x14ac:dyDescent="0.25">
      <c r="B217" s="16"/>
      <c r="H217" s="1" t="s">
        <v>476</v>
      </c>
      <c r="M217" s="17"/>
    </row>
    <row r="218" spans="2:13" x14ac:dyDescent="0.25">
      <c r="B218" s="16"/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8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70"/>
    </row>
    <row r="239" spans="2:13" ht="15" customHeight="1" x14ac:dyDescent="0.25">
      <c r="B239" s="68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70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70"/>
    </row>
    <row r="269" spans="2:13" ht="15.75" customHeight="1" thickBot="1" x14ac:dyDescent="0.3">
      <c r="B269" s="71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3"/>
    </row>
    <row r="271" spans="2:13" x14ac:dyDescent="0.25">
      <c r="B271" s="166" t="s">
        <v>6</v>
      </c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</row>
    <row r="272" spans="2:13" x14ac:dyDescent="0.25"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</row>
    <row r="273" spans="2:13" ht="15.75" thickBot="1" x14ac:dyDescent="0.3"/>
    <row r="274" spans="2:13" ht="15.75" x14ac:dyDescent="0.25">
      <c r="B274" s="167"/>
      <c r="C274" s="168"/>
      <c r="D274" s="169"/>
      <c r="E274" s="185" t="s">
        <v>7</v>
      </c>
      <c r="F274" s="186"/>
      <c r="G274" s="187"/>
      <c r="H274" s="150" t="s">
        <v>409</v>
      </c>
      <c r="I274" s="151"/>
      <c r="J274" s="151"/>
      <c r="K274" s="151"/>
      <c r="L274" s="152" t="s">
        <v>19</v>
      </c>
      <c r="M274" s="153"/>
    </row>
    <row r="275" spans="2:13" ht="15" customHeight="1" x14ac:dyDescent="0.25">
      <c r="B275" s="170"/>
      <c r="C275" s="171"/>
      <c r="D275" s="172"/>
      <c r="E275" s="176" t="s">
        <v>8</v>
      </c>
      <c r="F275" s="120"/>
      <c r="G275" s="121"/>
      <c r="H275" s="154" t="s">
        <v>11</v>
      </c>
      <c r="I275" s="155"/>
      <c r="J275" s="155"/>
      <c r="K275" s="155"/>
      <c r="L275" s="156" t="s">
        <v>491</v>
      </c>
      <c r="M275" s="157"/>
    </row>
    <row r="276" spans="2:13" ht="15" customHeight="1" x14ac:dyDescent="0.25">
      <c r="B276" s="170"/>
      <c r="C276" s="171"/>
      <c r="D276" s="172"/>
      <c r="E276" s="176" t="s">
        <v>10</v>
      </c>
      <c r="F276" s="120"/>
      <c r="G276" s="121"/>
      <c r="H276" s="154" t="s">
        <v>12</v>
      </c>
      <c r="I276" s="155"/>
      <c r="J276" s="155"/>
      <c r="K276" s="155"/>
      <c r="L276" s="158"/>
      <c r="M276" s="159"/>
    </row>
    <row r="277" spans="2:13" ht="15.75" customHeight="1" thickBot="1" x14ac:dyDescent="0.3">
      <c r="B277" s="173"/>
      <c r="C277" s="174"/>
      <c r="D277" s="175"/>
      <c r="E277" s="182" t="s">
        <v>9</v>
      </c>
      <c r="F277" s="183"/>
      <c r="G277" s="184"/>
      <c r="H277" s="164" t="s">
        <v>494</v>
      </c>
      <c r="I277" s="165"/>
      <c r="J277" s="165"/>
      <c r="K277" s="165"/>
      <c r="L277" s="160"/>
      <c r="M277" s="161"/>
    </row>
    <row r="278" spans="2:13" ht="15.75" thickBot="1" x14ac:dyDescent="0.3"/>
    <row r="279" spans="2:13" ht="18.75" x14ac:dyDescent="0.25">
      <c r="B279" s="136" t="s">
        <v>18</v>
      </c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8"/>
    </row>
    <row r="280" spans="2:13" ht="15" customHeight="1" x14ac:dyDescent="0.25">
      <c r="B280" s="116" t="s">
        <v>419</v>
      </c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8"/>
    </row>
    <row r="281" spans="2:13" ht="15" customHeight="1" x14ac:dyDescent="0.25">
      <c r="B281" s="116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8"/>
    </row>
    <row r="282" spans="2:13" x14ac:dyDescent="0.25">
      <c r="B282" s="16"/>
      <c r="M282" s="17"/>
    </row>
    <row r="283" spans="2:13" x14ac:dyDescent="0.25">
      <c r="B283" s="16"/>
      <c r="H283" s="81" t="s">
        <v>415</v>
      </c>
      <c r="K283" s="82">
        <f>+G44</f>
        <v>0.2125280929139384</v>
      </c>
      <c r="M283" s="17"/>
    </row>
    <row r="284" spans="2:13" x14ac:dyDescent="0.25">
      <c r="B284" s="16"/>
      <c r="H284" s="81" t="s">
        <v>416</v>
      </c>
      <c r="K284" s="82">
        <f>+H44</f>
        <v>0.13824485237306652</v>
      </c>
      <c r="L284" s="106" t="s">
        <v>471</v>
      </c>
      <c r="M284" s="107">
        <f>+K284-K283</f>
        <v>-7.4283240540871875E-2</v>
      </c>
    </row>
    <row r="285" spans="2:13" x14ac:dyDescent="0.25">
      <c r="B285" s="16"/>
      <c r="L285" s="106"/>
      <c r="M285" s="107"/>
    </row>
    <row r="286" spans="2:13" x14ac:dyDescent="0.25">
      <c r="B286" s="16"/>
      <c r="H286" s="81" t="s">
        <v>414</v>
      </c>
      <c r="M286" s="17"/>
    </row>
    <row r="287" spans="2:13" x14ac:dyDescent="0.25">
      <c r="B287" s="16"/>
      <c r="H287" s="1" t="s">
        <v>487</v>
      </c>
      <c r="M287" s="17"/>
    </row>
    <row r="288" spans="2:13" x14ac:dyDescent="0.25">
      <c r="B288" s="16"/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8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70"/>
    </row>
    <row r="310" spans="2:13" ht="15" customHeight="1" x14ac:dyDescent="0.25">
      <c r="B310" s="68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70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8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70"/>
    </row>
    <row r="340" spans="2:13" ht="15.75" customHeight="1" thickBot="1" x14ac:dyDescent="0.3">
      <c r="B340" s="71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3"/>
    </row>
    <row r="342" spans="2:13" x14ac:dyDescent="0.25">
      <c r="B342" s="166" t="s">
        <v>6</v>
      </c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</row>
    <row r="343" spans="2:13" x14ac:dyDescent="0.25"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</row>
    <row r="344" spans="2:13" ht="15.75" thickBot="1" x14ac:dyDescent="0.3"/>
    <row r="345" spans="2:13" ht="15.75" x14ac:dyDescent="0.25">
      <c r="B345" s="167"/>
      <c r="C345" s="168"/>
      <c r="D345" s="169"/>
      <c r="E345" s="185" t="s">
        <v>7</v>
      </c>
      <c r="F345" s="186"/>
      <c r="G345" s="187"/>
      <c r="H345" s="150" t="s">
        <v>409</v>
      </c>
      <c r="I345" s="151"/>
      <c r="J345" s="151"/>
      <c r="K345" s="151"/>
      <c r="L345" s="152" t="s">
        <v>19</v>
      </c>
      <c r="M345" s="153"/>
    </row>
    <row r="346" spans="2:13" ht="15" customHeight="1" x14ac:dyDescent="0.25">
      <c r="B346" s="170"/>
      <c r="C346" s="171"/>
      <c r="D346" s="172"/>
      <c r="E346" s="176" t="s">
        <v>8</v>
      </c>
      <c r="F346" s="120"/>
      <c r="G346" s="121"/>
      <c r="H346" s="154" t="s">
        <v>11</v>
      </c>
      <c r="I346" s="155"/>
      <c r="J346" s="155"/>
      <c r="K346" s="155"/>
      <c r="L346" s="156" t="s">
        <v>491</v>
      </c>
      <c r="M346" s="157"/>
    </row>
    <row r="347" spans="2:13" ht="15" customHeight="1" x14ac:dyDescent="0.25">
      <c r="B347" s="170"/>
      <c r="C347" s="171"/>
      <c r="D347" s="172"/>
      <c r="E347" s="176" t="s">
        <v>10</v>
      </c>
      <c r="F347" s="120"/>
      <c r="G347" s="121"/>
      <c r="H347" s="154" t="s">
        <v>12</v>
      </c>
      <c r="I347" s="155"/>
      <c r="J347" s="155"/>
      <c r="K347" s="155"/>
      <c r="L347" s="158"/>
      <c r="M347" s="159"/>
    </row>
    <row r="348" spans="2:13" ht="15.75" customHeight="1" thickBot="1" x14ac:dyDescent="0.3">
      <c r="B348" s="173"/>
      <c r="C348" s="174"/>
      <c r="D348" s="175"/>
      <c r="E348" s="182" t="s">
        <v>9</v>
      </c>
      <c r="F348" s="183"/>
      <c r="G348" s="184"/>
      <c r="H348" s="164" t="s">
        <v>494</v>
      </c>
      <c r="I348" s="165"/>
      <c r="J348" s="165"/>
      <c r="K348" s="165"/>
      <c r="L348" s="160"/>
      <c r="M348" s="161"/>
    </row>
    <row r="349" spans="2:13" ht="15.75" thickBot="1" x14ac:dyDescent="0.3"/>
    <row r="350" spans="2:13" ht="18.75" x14ac:dyDescent="0.25">
      <c r="B350" s="136" t="s">
        <v>18</v>
      </c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8"/>
    </row>
    <row r="351" spans="2:13" ht="15" customHeight="1" x14ac:dyDescent="0.25">
      <c r="B351" s="116" t="s">
        <v>424</v>
      </c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8"/>
    </row>
    <row r="352" spans="2:13" ht="15" customHeight="1" x14ac:dyDescent="0.25">
      <c r="B352" s="116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8"/>
    </row>
    <row r="353" spans="2:13" x14ac:dyDescent="0.25">
      <c r="B353" s="16"/>
      <c r="M353" s="17"/>
    </row>
    <row r="354" spans="2:13" x14ac:dyDescent="0.25">
      <c r="B354" s="16"/>
      <c r="H354" s="81" t="s">
        <v>415</v>
      </c>
      <c r="K354" s="82">
        <f>+G47</f>
        <v>4.2489367298644498E-2</v>
      </c>
      <c r="M354" s="17"/>
    </row>
    <row r="355" spans="2:13" x14ac:dyDescent="0.25">
      <c r="B355" s="16"/>
      <c r="H355" s="81" t="s">
        <v>416</v>
      </c>
      <c r="K355" s="82">
        <f>+H47</f>
        <v>1.7571063351255748E-2</v>
      </c>
      <c r="L355" s="106" t="s">
        <v>471</v>
      </c>
      <c r="M355" s="107">
        <f>+K355-K354</f>
        <v>-2.491830394738875E-2</v>
      </c>
    </row>
    <row r="356" spans="2:13" x14ac:dyDescent="0.25">
      <c r="B356" s="16"/>
      <c r="M356" s="17"/>
    </row>
    <row r="357" spans="2:13" x14ac:dyDescent="0.25">
      <c r="B357" s="16"/>
      <c r="H357" s="81" t="s">
        <v>414</v>
      </c>
      <c r="M357" s="17"/>
    </row>
    <row r="358" spans="2:13" x14ac:dyDescent="0.25">
      <c r="B358" s="16"/>
      <c r="H358" s="1" t="s">
        <v>488</v>
      </c>
      <c r="M358" s="17"/>
    </row>
    <row r="359" spans="2:13" x14ac:dyDescent="0.25">
      <c r="B359" s="16"/>
      <c r="H359" s="85"/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8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70"/>
    </row>
    <row r="381" spans="2:13" ht="15" customHeight="1" x14ac:dyDescent="0.25">
      <c r="B381" s="68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70"/>
    </row>
    <row r="382" spans="2:13" x14ac:dyDescent="0.25">
      <c r="B382" s="16"/>
      <c r="M382" s="17"/>
    </row>
    <row r="383" spans="2:13" x14ac:dyDescent="0.25">
      <c r="B383" s="16"/>
      <c r="C383" s="81"/>
      <c r="D383" s="81"/>
      <c r="E383" s="81"/>
      <c r="F383" s="81"/>
      <c r="I383" s="81"/>
      <c r="J383" s="81"/>
      <c r="K383" s="81"/>
      <c r="L383" s="81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1"/>
      <c r="G406" s="81"/>
      <c r="H406" s="81"/>
      <c r="I406" s="81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8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70"/>
    </row>
    <row r="411" spans="2:13" ht="15.75" customHeight="1" thickBot="1" x14ac:dyDescent="0.3">
      <c r="B411" s="71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3"/>
    </row>
    <row r="413" spans="2:13" x14ac:dyDescent="0.25">
      <c r="B413" s="166" t="s">
        <v>6</v>
      </c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</row>
    <row r="414" spans="2:13" x14ac:dyDescent="0.25"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</row>
    <row r="415" spans="2:13" ht="15.75" thickBot="1" x14ac:dyDescent="0.3"/>
    <row r="416" spans="2:13" ht="15.75" x14ac:dyDescent="0.25">
      <c r="B416" s="167"/>
      <c r="C416" s="168"/>
      <c r="D416" s="169"/>
      <c r="E416" s="185" t="s">
        <v>7</v>
      </c>
      <c r="F416" s="186"/>
      <c r="G416" s="187"/>
      <c r="H416" s="150" t="s">
        <v>409</v>
      </c>
      <c r="I416" s="151"/>
      <c r="J416" s="151"/>
      <c r="K416" s="151"/>
      <c r="L416" s="152" t="s">
        <v>19</v>
      </c>
      <c r="M416" s="153"/>
    </row>
    <row r="417" spans="2:13" ht="15" customHeight="1" x14ac:dyDescent="0.25">
      <c r="B417" s="170"/>
      <c r="C417" s="171"/>
      <c r="D417" s="172"/>
      <c r="E417" s="176" t="s">
        <v>8</v>
      </c>
      <c r="F417" s="120"/>
      <c r="G417" s="121"/>
      <c r="H417" s="154" t="s">
        <v>11</v>
      </c>
      <c r="I417" s="155"/>
      <c r="J417" s="155"/>
      <c r="K417" s="155"/>
      <c r="L417" s="156" t="s">
        <v>491</v>
      </c>
      <c r="M417" s="157"/>
    </row>
    <row r="418" spans="2:13" ht="15" customHeight="1" x14ac:dyDescent="0.25">
      <c r="B418" s="170"/>
      <c r="C418" s="171"/>
      <c r="D418" s="172"/>
      <c r="E418" s="176" t="s">
        <v>10</v>
      </c>
      <c r="F418" s="120"/>
      <c r="G418" s="121"/>
      <c r="H418" s="154" t="s">
        <v>12</v>
      </c>
      <c r="I418" s="155"/>
      <c r="J418" s="155"/>
      <c r="K418" s="155"/>
      <c r="L418" s="158"/>
      <c r="M418" s="159"/>
    </row>
    <row r="419" spans="2:13" ht="15.75" customHeight="1" thickBot="1" x14ac:dyDescent="0.3">
      <c r="B419" s="173"/>
      <c r="C419" s="174"/>
      <c r="D419" s="175"/>
      <c r="E419" s="182" t="s">
        <v>9</v>
      </c>
      <c r="F419" s="183"/>
      <c r="G419" s="184"/>
      <c r="H419" s="164" t="s">
        <v>494</v>
      </c>
      <c r="I419" s="165"/>
      <c r="J419" s="165"/>
      <c r="K419" s="165"/>
      <c r="L419" s="160"/>
      <c r="M419" s="161"/>
    </row>
    <row r="420" spans="2:13" ht="15.75" thickBot="1" x14ac:dyDescent="0.3"/>
    <row r="421" spans="2:13" ht="18.75" x14ac:dyDescent="0.25">
      <c r="B421" s="136" t="s">
        <v>18</v>
      </c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8"/>
    </row>
    <row r="422" spans="2:13" ht="15" customHeight="1" x14ac:dyDescent="0.25">
      <c r="B422" s="116" t="s">
        <v>459</v>
      </c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8"/>
    </row>
    <row r="423" spans="2:13" ht="15" customHeight="1" x14ac:dyDescent="0.25">
      <c r="B423" s="116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8"/>
    </row>
    <row r="424" spans="2:13" x14ac:dyDescent="0.25">
      <c r="B424" s="16"/>
      <c r="M424" s="17"/>
    </row>
    <row r="425" spans="2:13" x14ac:dyDescent="0.25">
      <c r="B425" s="16"/>
      <c r="H425" s="81" t="s">
        <v>415</v>
      </c>
      <c r="K425" s="82">
        <f>+AVANCES!E1160</f>
        <v>7.9901913245583628E-2</v>
      </c>
      <c r="M425" s="17"/>
    </row>
    <row r="426" spans="2:13" x14ac:dyDescent="0.25">
      <c r="B426" s="16"/>
      <c r="H426" s="81" t="s">
        <v>416</v>
      </c>
      <c r="K426" s="82">
        <f>+AVANCES!F1160</f>
        <v>6.1437970221942355E-2</v>
      </c>
      <c r="L426" s="106" t="s">
        <v>471</v>
      </c>
      <c r="M426" s="108">
        <f>+K426-K425</f>
        <v>-1.8463943023641273E-2</v>
      </c>
    </row>
    <row r="427" spans="2:13" x14ac:dyDescent="0.25">
      <c r="B427" s="16"/>
      <c r="M427" s="17"/>
    </row>
    <row r="428" spans="2:13" x14ac:dyDescent="0.25">
      <c r="B428" s="16"/>
      <c r="H428" s="81" t="s">
        <v>414</v>
      </c>
      <c r="M428" s="17"/>
    </row>
    <row r="429" spans="2:13" x14ac:dyDescent="0.25">
      <c r="B429" s="16"/>
      <c r="H429" s="1" t="s">
        <v>477</v>
      </c>
      <c r="M429" s="17"/>
    </row>
    <row r="430" spans="2:13" x14ac:dyDescent="0.25">
      <c r="B430" s="16"/>
      <c r="H430" s="85" t="s">
        <v>478</v>
      </c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8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70"/>
    </row>
    <row r="452" spans="2:13" ht="15" customHeight="1" x14ac:dyDescent="0.25">
      <c r="B452" s="68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70"/>
    </row>
    <row r="453" spans="2:13" x14ac:dyDescent="0.25">
      <c r="B453" s="16"/>
      <c r="M453" s="17"/>
    </row>
    <row r="454" spans="2:13" x14ac:dyDescent="0.25">
      <c r="B454" s="16"/>
      <c r="C454" s="81"/>
      <c r="D454" s="81"/>
      <c r="E454" s="81"/>
      <c r="F454" s="81"/>
      <c r="I454" s="81"/>
      <c r="J454" s="81"/>
      <c r="K454" s="81"/>
      <c r="L454" s="81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1"/>
      <c r="G477" s="81"/>
      <c r="H477" s="81"/>
      <c r="I477" s="81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8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70"/>
    </row>
    <row r="482" spans="2:13" ht="15.75" customHeight="1" thickBot="1" x14ac:dyDescent="0.3">
      <c r="B482" s="71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3"/>
    </row>
    <row r="484" spans="2:13" x14ac:dyDescent="0.25">
      <c r="B484" s="166" t="s">
        <v>6</v>
      </c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</row>
    <row r="485" spans="2:13" x14ac:dyDescent="0.25"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</row>
    <row r="486" spans="2:13" ht="15.75" thickBot="1" x14ac:dyDescent="0.3"/>
    <row r="487" spans="2:13" ht="15.75" x14ac:dyDescent="0.25">
      <c r="B487" s="167"/>
      <c r="C487" s="168"/>
      <c r="D487" s="169"/>
      <c r="E487" s="185" t="s">
        <v>7</v>
      </c>
      <c r="F487" s="186"/>
      <c r="G487" s="187"/>
      <c r="H487" s="150" t="s">
        <v>409</v>
      </c>
      <c r="I487" s="151"/>
      <c r="J487" s="151"/>
      <c r="K487" s="151"/>
      <c r="L487" s="152" t="s">
        <v>19</v>
      </c>
      <c r="M487" s="153"/>
    </row>
    <row r="488" spans="2:13" ht="15" customHeight="1" x14ac:dyDescent="0.25">
      <c r="B488" s="170"/>
      <c r="C488" s="171"/>
      <c r="D488" s="172"/>
      <c r="E488" s="176" t="s">
        <v>8</v>
      </c>
      <c r="F488" s="120"/>
      <c r="G488" s="121"/>
      <c r="H488" s="154" t="s">
        <v>11</v>
      </c>
      <c r="I488" s="155"/>
      <c r="J488" s="155"/>
      <c r="K488" s="155"/>
      <c r="L488" s="156" t="s">
        <v>491</v>
      </c>
      <c r="M488" s="157"/>
    </row>
    <row r="489" spans="2:13" ht="15" customHeight="1" x14ac:dyDescent="0.25">
      <c r="B489" s="170"/>
      <c r="C489" s="171"/>
      <c r="D489" s="172"/>
      <c r="E489" s="176" t="s">
        <v>10</v>
      </c>
      <c r="F489" s="120"/>
      <c r="G489" s="121"/>
      <c r="H489" s="154" t="s">
        <v>12</v>
      </c>
      <c r="I489" s="155"/>
      <c r="J489" s="155"/>
      <c r="K489" s="155"/>
      <c r="L489" s="158"/>
      <c r="M489" s="159"/>
    </row>
    <row r="490" spans="2:13" ht="15.75" customHeight="1" thickBot="1" x14ac:dyDescent="0.3">
      <c r="B490" s="173"/>
      <c r="C490" s="174"/>
      <c r="D490" s="175"/>
      <c r="E490" s="182" t="s">
        <v>9</v>
      </c>
      <c r="F490" s="183"/>
      <c r="G490" s="184"/>
      <c r="H490" s="164" t="s">
        <v>494</v>
      </c>
      <c r="I490" s="165"/>
      <c r="J490" s="165"/>
      <c r="K490" s="165"/>
      <c r="L490" s="160"/>
      <c r="M490" s="161"/>
    </row>
    <row r="491" spans="2:13" ht="15.75" thickBot="1" x14ac:dyDescent="0.3"/>
    <row r="492" spans="2:13" ht="18.75" x14ac:dyDescent="0.25">
      <c r="B492" s="136" t="s">
        <v>18</v>
      </c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8"/>
    </row>
    <row r="493" spans="2:13" ht="15" customHeight="1" x14ac:dyDescent="0.25">
      <c r="B493" s="116" t="s">
        <v>460</v>
      </c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8"/>
    </row>
    <row r="494" spans="2:13" ht="15" customHeight="1" x14ac:dyDescent="0.25">
      <c r="B494" s="116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8"/>
    </row>
    <row r="495" spans="2:13" x14ac:dyDescent="0.25">
      <c r="B495" s="16"/>
      <c r="M495" s="17"/>
    </row>
    <row r="496" spans="2:13" x14ac:dyDescent="0.25">
      <c r="B496" s="16"/>
      <c r="H496" s="81" t="s">
        <v>415</v>
      </c>
      <c r="K496" s="82">
        <f>+AVANCES!E860</f>
        <v>0.10925720278540797</v>
      </c>
      <c r="M496" s="17"/>
    </row>
    <row r="497" spans="2:13" x14ac:dyDescent="0.25">
      <c r="B497" s="16"/>
      <c r="H497" s="81" t="s">
        <v>416</v>
      </c>
      <c r="K497" s="82">
        <f>+AVANCES!F860</f>
        <v>8.8439239037491971E-2</v>
      </c>
      <c r="L497" s="106" t="s">
        <v>471</v>
      </c>
      <c r="M497" s="107">
        <f>+K497-K496</f>
        <v>-2.0817963747916002E-2</v>
      </c>
    </row>
    <row r="498" spans="2:13" x14ac:dyDescent="0.25">
      <c r="B498" s="16"/>
      <c r="M498" s="17"/>
    </row>
    <row r="499" spans="2:13" x14ac:dyDescent="0.25">
      <c r="B499" s="16"/>
      <c r="H499" s="81" t="s">
        <v>414</v>
      </c>
      <c r="M499" s="17"/>
    </row>
    <row r="500" spans="2:13" x14ac:dyDescent="0.25">
      <c r="B500" s="16"/>
      <c r="H500" s="1" t="s">
        <v>423</v>
      </c>
      <c r="M500" s="17"/>
    </row>
    <row r="501" spans="2:13" x14ac:dyDescent="0.25">
      <c r="B501" s="16"/>
      <c r="H501" s="85"/>
      <c r="M501" s="17"/>
    </row>
    <row r="502" spans="2:13" x14ac:dyDescent="0.25">
      <c r="B502" s="16"/>
      <c r="M502" s="17"/>
    </row>
    <row r="503" spans="2:13" x14ac:dyDescent="0.25">
      <c r="B503" s="16"/>
      <c r="M503" s="17"/>
    </row>
    <row r="504" spans="2:13" x14ac:dyDescent="0.25">
      <c r="B504" s="16"/>
      <c r="M504" s="17"/>
    </row>
    <row r="505" spans="2:13" x14ac:dyDescent="0.25">
      <c r="B505" s="16"/>
      <c r="M505" s="17"/>
    </row>
    <row r="506" spans="2:13" x14ac:dyDescent="0.25">
      <c r="B506" s="16"/>
      <c r="M506" s="17"/>
    </row>
    <row r="507" spans="2:13" x14ac:dyDescent="0.25">
      <c r="B507" s="16"/>
      <c r="M507" s="17"/>
    </row>
    <row r="508" spans="2:13" x14ac:dyDescent="0.25">
      <c r="B508" s="16"/>
      <c r="M508" s="17"/>
    </row>
    <row r="509" spans="2:13" x14ac:dyDescent="0.25">
      <c r="B509" s="16"/>
      <c r="M509" s="17"/>
    </row>
    <row r="510" spans="2:13" x14ac:dyDescent="0.25">
      <c r="B510" s="16"/>
      <c r="M510" s="17"/>
    </row>
    <row r="511" spans="2:13" x14ac:dyDescent="0.25">
      <c r="B511" s="16"/>
      <c r="M511" s="17"/>
    </row>
    <row r="512" spans="2:13" x14ac:dyDescent="0.25">
      <c r="B512" s="16"/>
      <c r="M512" s="17"/>
    </row>
    <row r="513" spans="2:13" x14ac:dyDescent="0.25">
      <c r="B513" s="16"/>
      <c r="M513" s="17"/>
    </row>
    <row r="514" spans="2:13" x14ac:dyDescent="0.25">
      <c r="B514" s="16"/>
      <c r="M514" s="17"/>
    </row>
    <row r="515" spans="2:13" x14ac:dyDescent="0.25">
      <c r="B515" s="16"/>
      <c r="M515" s="17"/>
    </row>
    <row r="516" spans="2:13" x14ac:dyDescent="0.25">
      <c r="B516" s="16"/>
      <c r="M516" s="17"/>
    </row>
    <row r="517" spans="2:13" x14ac:dyDescent="0.25">
      <c r="B517" s="16"/>
      <c r="M517" s="17"/>
    </row>
    <row r="518" spans="2:13" x14ac:dyDescent="0.25">
      <c r="B518" s="16"/>
      <c r="M518" s="17"/>
    </row>
    <row r="519" spans="2:13" x14ac:dyDescent="0.25">
      <c r="B519" s="16"/>
      <c r="M519" s="17"/>
    </row>
    <row r="520" spans="2:13" x14ac:dyDescent="0.25">
      <c r="B520" s="16"/>
      <c r="M520" s="17"/>
    </row>
    <row r="521" spans="2:13" x14ac:dyDescent="0.25">
      <c r="B521" s="16"/>
      <c r="M521" s="17"/>
    </row>
    <row r="522" spans="2:13" ht="15" customHeight="1" x14ac:dyDescent="0.25">
      <c r="B522" s="68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70"/>
    </row>
    <row r="523" spans="2:13" ht="15" customHeight="1" x14ac:dyDescent="0.25">
      <c r="B523" s="68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70"/>
    </row>
    <row r="524" spans="2:13" x14ac:dyDescent="0.25">
      <c r="B524" s="16"/>
      <c r="M524" s="17"/>
    </row>
    <row r="525" spans="2:13" x14ac:dyDescent="0.25">
      <c r="B525" s="16"/>
      <c r="C525" s="81"/>
      <c r="D525" s="81"/>
      <c r="E525" s="81"/>
      <c r="F525" s="81"/>
      <c r="I525" s="81"/>
      <c r="J525" s="81"/>
      <c r="K525" s="81"/>
      <c r="L525" s="81"/>
      <c r="M525" s="17"/>
    </row>
    <row r="526" spans="2:13" x14ac:dyDescent="0.25">
      <c r="B526" s="16"/>
      <c r="M526" s="17"/>
    </row>
    <row r="527" spans="2:13" x14ac:dyDescent="0.25">
      <c r="B527" s="16"/>
      <c r="M527" s="17"/>
    </row>
    <row r="528" spans="2:13" x14ac:dyDescent="0.25">
      <c r="B528" s="16"/>
      <c r="M528" s="17"/>
    </row>
    <row r="529" spans="2:13" x14ac:dyDescent="0.25">
      <c r="B529" s="16"/>
      <c r="M529" s="17"/>
    </row>
    <row r="530" spans="2:13" ht="15" customHeight="1" x14ac:dyDescent="0.25">
      <c r="B530" s="16"/>
      <c r="M530" s="17"/>
    </row>
    <row r="531" spans="2:13" ht="15" customHeight="1" x14ac:dyDescent="0.25">
      <c r="B531" s="16"/>
      <c r="M531" s="17"/>
    </row>
    <row r="532" spans="2:13" x14ac:dyDescent="0.25">
      <c r="B532" s="16"/>
      <c r="M532" s="17"/>
    </row>
    <row r="533" spans="2:13" x14ac:dyDescent="0.25">
      <c r="B533" s="16"/>
      <c r="M533" s="17"/>
    </row>
    <row r="534" spans="2:13" x14ac:dyDescent="0.25">
      <c r="B534" s="16"/>
      <c r="M534" s="17"/>
    </row>
    <row r="535" spans="2:13" x14ac:dyDescent="0.25">
      <c r="B535" s="16"/>
      <c r="M535" s="17"/>
    </row>
    <row r="536" spans="2:13" x14ac:dyDescent="0.25">
      <c r="B536" s="16"/>
      <c r="M536" s="17"/>
    </row>
    <row r="537" spans="2:13" x14ac:dyDescent="0.25">
      <c r="B537" s="16"/>
      <c r="M537" s="17"/>
    </row>
    <row r="538" spans="2:13" x14ac:dyDescent="0.25">
      <c r="B538" s="16"/>
      <c r="M538" s="17"/>
    </row>
    <row r="539" spans="2:13" x14ac:dyDescent="0.25">
      <c r="B539" s="16"/>
      <c r="M539" s="17"/>
    </row>
    <row r="540" spans="2:13" x14ac:dyDescent="0.25">
      <c r="B540" s="16"/>
      <c r="M540" s="17"/>
    </row>
    <row r="541" spans="2:13" x14ac:dyDescent="0.25">
      <c r="B541" s="16"/>
      <c r="M541" s="17"/>
    </row>
    <row r="542" spans="2:13" x14ac:dyDescent="0.25">
      <c r="B542" s="16"/>
      <c r="M542" s="17"/>
    </row>
    <row r="543" spans="2:13" x14ac:dyDescent="0.25">
      <c r="B543" s="16"/>
      <c r="M543" s="17"/>
    </row>
    <row r="544" spans="2:13" x14ac:dyDescent="0.25">
      <c r="B544" s="16"/>
      <c r="M544" s="17"/>
    </row>
    <row r="545" spans="2:13" x14ac:dyDescent="0.25">
      <c r="B545" s="16"/>
      <c r="M545" s="17"/>
    </row>
    <row r="546" spans="2:13" x14ac:dyDescent="0.25">
      <c r="B546" s="16"/>
      <c r="M546" s="17"/>
    </row>
    <row r="547" spans="2:13" x14ac:dyDescent="0.25">
      <c r="B547" s="16"/>
      <c r="M547" s="17"/>
    </row>
    <row r="548" spans="2:13" x14ac:dyDescent="0.25">
      <c r="B548" s="16"/>
      <c r="F548" s="81"/>
      <c r="G548" s="81"/>
      <c r="H548" s="81"/>
      <c r="I548" s="81"/>
      <c r="M548" s="17"/>
    </row>
    <row r="549" spans="2:13" ht="15" customHeight="1" x14ac:dyDescent="0.25">
      <c r="B549" s="16"/>
      <c r="M549" s="17"/>
    </row>
    <row r="550" spans="2:13" ht="15" customHeight="1" x14ac:dyDescent="0.25">
      <c r="B550" s="16"/>
      <c r="M550" s="17"/>
    </row>
    <row r="551" spans="2:13" x14ac:dyDescent="0.25">
      <c r="B551" s="16"/>
      <c r="M551" s="17"/>
    </row>
    <row r="552" spans="2:13" ht="15" customHeight="1" x14ac:dyDescent="0.25">
      <c r="B552" s="68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70"/>
    </row>
    <row r="553" spans="2:13" ht="15.75" customHeight="1" thickBot="1" x14ac:dyDescent="0.3">
      <c r="B553" s="71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3"/>
    </row>
  </sheetData>
  <mergeCells count="264">
    <mergeCell ref="B492:M492"/>
    <mergeCell ref="B493:M494"/>
    <mergeCell ref="B487:D490"/>
    <mergeCell ref="E487:G487"/>
    <mergeCell ref="H487:K487"/>
    <mergeCell ref="L487:M487"/>
    <mergeCell ref="E488:G488"/>
    <mergeCell ref="H488:K488"/>
    <mergeCell ref="L488:M490"/>
    <mergeCell ref="E489:G489"/>
    <mergeCell ref="H489:K489"/>
    <mergeCell ref="E490:G490"/>
    <mergeCell ref="H490:K490"/>
    <mergeCell ref="I24:M24"/>
    <mergeCell ref="I25:M25"/>
    <mergeCell ref="I26:M26"/>
    <mergeCell ref="C25:G25"/>
    <mergeCell ref="C26:G26"/>
    <mergeCell ref="B484:M485"/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B50:M50"/>
    <mergeCell ref="E418:G418"/>
    <mergeCell ref="H418:K418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133:G133"/>
    <mergeCell ref="H133:K133"/>
    <mergeCell ref="J120:K120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L119:M119"/>
    <mergeCell ref="H120:I120"/>
    <mergeCell ref="B124:G124"/>
    <mergeCell ref="B122:G122"/>
    <mergeCell ref="H122:I122"/>
    <mergeCell ref="J121:K121"/>
    <mergeCell ref="L122:M122"/>
    <mergeCell ref="B123:G123"/>
    <mergeCell ref="J123:K123"/>
    <mergeCell ref="L123:M123"/>
    <mergeCell ref="J122:K122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C93:F93"/>
    <mergeCell ref="K95:L95"/>
    <mergeCell ref="B110:M110"/>
    <mergeCell ref="B109:M109"/>
    <mergeCell ref="J114:K114"/>
    <mergeCell ref="L114:M114"/>
    <mergeCell ref="L112:M112"/>
    <mergeCell ref="B10:M10"/>
    <mergeCell ref="B11:G11"/>
    <mergeCell ref="H11:M11"/>
    <mergeCell ref="C13:G13"/>
    <mergeCell ref="C14:G14"/>
    <mergeCell ref="C15:G15"/>
    <mergeCell ref="B30:G30"/>
    <mergeCell ref="H27:M27"/>
    <mergeCell ref="B27:G27"/>
    <mergeCell ref="L29:M29"/>
    <mergeCell ref="B29:G29"/>
    <mergeCell ref="C24:G24"/>
    <mergeCell ref="C12:G12"/>
    <mergeCell ref="C16:G16"/>
    <mergeCell ref="C17:G17"/>
    <mergeCell ref="C18:G18"/>
    <mergeCell ref="C19:G19"/>
    <mergeCell ref="C20:G20"/>
    <mergeCell ref="C21:G21"/>
    <mergeCell ref="C22:G22"/>
    <mergeCell ref="C23:G23"/>
    <mergeCell ref="I12:M12"/>
    <mergeCell ref="I13:M13"/>
    <mergeCell ref="I14:M14"/>
    <mergeCell ref="J45:M45"/>
    <mergeCell ref="B49:M49"/>
    <mergeCell ref="E62:G62"/>
    <mergeCell ref="J40:M40"/>
    <mergeCell ref="E64:G64"/>
    <mergeCell ref="J44:M44"/>
    <mergeCell ref="J42:M42"/>
    <mergeCell ref="E61:G6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J29:K29"/>
    <mergeCell ref="H29:I29"/>
    <mergeCell ref="B31:G31"/>
    <mergeCell ref="B32:G32"/>
    <mergeCell ref="B35:G35"/>
    <mergeCell ref="B36:G36"/>
    <mergeCell ref="H35:I35"/>
    <mergeCell ref="J35:K35"/>
    <mergeCell ref="L35:M35"/>
    <mergeCell ref="B66:M66"/>
    <mergeCell ref="H36:I36"/>
    <mergeCell ref="J36:K36"/>
    <mergeCell ref="L36:M36"/>
    <mergeCell ref="J38:M38"/>
    <mergeCell ref="J47:M47"/>
    <mergeCell ref="J41:M41"/>
    <mergeCell ref="H61:K61"/>
    <mergeCell ref="L61:M61"/>
    <mergeCell ref="H62:K62"/>
    <mergeCell ref="L62:M64"/>
    <mergeCell ref="J48:M48"/>
    <mergeCell ref="J43:M43"/>
    <mergeCell ref="H64:K64"/>
    <mergeCell ref="B58:M59"/>
    <mergeCell ref="B61:D64"/>
    <mergeCell ref="E63:G63"/>
    <mergeCell ref="H63:K63"/>
    <mergeCell ref="J46:M46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  <mergeCell ref="B34:G34"/>
    <mergeCell ref="H30:I30"/>
    <mergeCell ref="J30:K30"/>
    <mergeCell ref="L30:M30"/>
    <mergeCell ref="B33:G33"/>
    <mergeCell ref="H31:I31"/>
    <mergeCell ref="J31:K31"/>
    <mergeCell ref="L31:M31"/>
    <mergeCell ref="H32:I32"/>
    <mergeCell ref="J32:K32"/>
    <mergeCell ref="L32:M32"/>
    <mergeCell ref="H33:I33"/>
    <mergeCell ref="J33:K33"/>
    <mergeCell ref="L33:M33"/>
    <mergeCell ref="H34:I34"/>
    <mergeCell ref="J34:K34"/>
    <mergeCell ref="L34:M34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K1713"/>
  <sheetViews>
    <sheetView zoomScale="90" zoomScaleNormal="90" workbookViewId="0">
      <pane ySplit="4" topLeftCell="A559" activePane="bottomLeft" state="frozen"/>
      <selection pane="bottomLeft" activeCell="F605" sqref="F605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0" customWidth="1"/>
    <col min="7" max="8" width="18.28515625" style="47" customWidth="1"/>
    <col min="9" max="9" width="3.140625" style="1" customWidth="1"/>
    <col min="10" max="10" width="14.28515625" style="1" bestFit="1" customWidth="1"/>
    <col min="11" max="16384" width="11.42578125" style="1"/>
  </cols>
  <sheetData>
    <row r="2" spans="2:11" ht="22.5" customHeight="1" x14ac:dyDescent="0.25">
      <c r="E2" s="49" t="s">
        <v>57</v>
      </c>
      <c r="F2" s="49" t="s">
        <v>58</v>
      </c>
      <c r="G2" s="48" t="s">
        <v>59</v>
      </c>
      <c r="H2" s="48" t="s">
        <v>60</v>
      </c>
    </row>
    <row r="3" spans="2:11" x14ac:dyDescent="0.25">
      <c r="J3" s="81"/>
      <c r="K3" s="81"/>
    </row>
    <row r="4" spans="2:11" x14ac:dyDescent="0.25">
      <c r="B4" s="65" t="s">
        <v>410</v>
      </c>
      <c r="C4" s="55">
        <f>+C1460+C1160+C860+C260+C560+C6</f>
        <v>13184120.839999998</v>
      </c>
      <c r="E4" s="56">
        <f>+G4/C4</f>
        <v>0.16418116557554246</v>
      </c>
      <c r="F4" s="56">
        <f>+H4/C4</f>
        <v>0.10670392626650108</v>
      </c>
      <c r="G4" s="57">
        <f>+G1460+G1160+G860+G260+G560+G6</f>
        <v>2164584.3265999998</v>
      </c>
      <c r="H4" s="57">
        <f>+H1460+H1160+H860+H260+H560+H6</f>
        <v>1406797.4580000001</v>
      </c>
      <c r="J4" s="104">
        <f>+H4-G4</f>
        <v>-757786.8685999997</v>
      </c>
      <c r="K4" s="105">
        <f>+F4-E4</f>
        <v>-5.7477239309041389E-2</v>
      </c>
    </row>
    <row r="6" spans="2:11" x14ac:dyDescent="0.25">
      <c r="B6" s="45" t="s">
        <v>407</v>
      </c>
      <c r="C6" s="46">
        <f>+C7+C9+C12+C39+C54+C56+C82+C94+C109+C117+C120+C123+C142+C147+C154+C169+C171+C174+C181+C186+C204+C230+C233+C242+C249+C253+C257</f>
        <v>1720903.2199999995</v>
      </c>
      <c r="E6" s="59">
        <f>+G6/C6</f>
        <v>0.3215776774477766</v>
      </c>
      <c r="F6" s="59">
        <f>+H6/C6</f>
        <v>0.19731815308010175</v>
      </c>
      <c r="G6" s="58">
        <f>+G7+G9+G12+G39+G54+G56+G82+G204+G230</f>
        <v>553404.06059999997</v>
      </c>
      <c r="H6" s="58">
        <f>+H7+H9+H12+H39+H54+H56+H82+H204+H230</f>
        <v>339565.44499999995</v>
      </c>
      <c r="J6" s="97">
        <f t="shared" ref="J6" si="0">+F6-E6</f>
        <v>-0.12425952436767485</v>
      </c>
    </row>
    <row r="7" spans="2:11" outlineLevel="1" x14ac:dyDescent="0.25">
      <c r="B7" s="60" t="s">
        <v>78</v>
      </c>
      <c r="C7" s="61">
        <v>2101.94</v>
      </c>
      <c r="E7" s="62">
        <f>+G7/C7</f>
        <v>1</v>
      </c>
      <c r="F7" s="62">
        <f>+H7/C7</f>
        <v>1</v>
      </c>
      <c r="G7" s="63">
        <f>+G8</f>
        <v>2101.94</v>
      </c>
      <c r="H7" s="63">
        <f>+H8</f>
        <v>2101.94</v>
      </c>
      <c r="J7" s="90">
        <f>+F7-E7</f>
        <v>0</v>
      </c>
    </row>
    <row r="8" spans="2:11" hidden="1" outlineLevel="2" x14ac:dyDescent="0.25">
      <c r="B8" s="1" t="s">
        <v>79</v>
      </c>
      <c r="C8" s="44">
        <v>2101.94</v>
      </c>
      <c r="E8" s="50">
        <v>1</v>
      </c>
      <c r="F8" s="50">
        <v>1</v>
      </c>
      <c r="G8" s="51">
        <f>+E8*C8</f>
        <v>2101.94</v>
      </c>
      <c r="H8" s="51">
        <f>+F8*C8</f>
        <v>2101.94</v>
      </c>
      <c r="J8" s="90">
        <f t="shared" ref="J8:J39" si="1">+F8-E8</f>
        <v>0</v>
      </c>
    </row>
    <row r="9" spans="2:11" outlineLevel="1" collapsed="1" x14ac:dyDescent="0.25">
      <c r="B9" s="60" t="s">
        <v>80</v>
      </c>
      <c r="C9" s="61">
        <v>3471.96</v>
      </c>
      <c r="E9" s="62">
        <f>+G9/C9</f>
        <v>1</v>
      </c>
      <c r="F9" s="62">
        <f>+H9/C9</f>
        <v>1</v>
      </c>
      <c r="G9" s="63">
        <f>+G10+G11</f>
        <v>3471.96</v>
      </c>
      <c r="H9" s="63">
        <f>+H10+H11</f>
        <v>3471.96</v>
      </c>
      <c r="J9" s="90">
        <f t="shared" si="1"/>
        <v>0</v>
      </c>
    </row>
    <row r="10" spans="2:11" hidden="1" outlineLevel="2" x14ac:dyDescent="0.25">
      <c r="B10" s="1" t="s">
        <v>81</v>
      </c>
      <c r="C10" s="44">
        <v>3471.96</v>
      </c>
      <c r="E10" s="50">
        <v>1</v>
      </c>
      <c r="F10" s="50">
        <v>1</v>
      </c>
      <c r="G10" s="51">
        <f>+E10*C10</f>
        <v>3471.96</v>
      </c>
      <c r="H10" s="51">
        <f>+F10*C10</f>
        <v>3471.96</v>
      </c>
      <c r="J10" s="90">
        <f t="shared" si="1"/>
        <v>0</v>
      </c>
    </row>
    <row r="11" spans="2:11" hidden="1" outlineLevel="2" x14ac:dyDescent="0.25">
      <c r="B11" s="1" t="s">
        <v>82</v>
      </c>
      <c r="C11" s="44">
        <v>0</v>
      </c>
      <c r="E11" s="50">
        <v>1</v>
      </c>
      <c r="F11" s="50">
        <v>1</v>
      </c>
      <c r="G11" s="51">
        <v>0</v>
      </c>
      <c r="H11" s="51">
        <f>+F11*C11</f>
        <v>0</v>
      </c>
      <c r="J11" s="90">
        <f t="shared" si="1"/>
        <v>0</v>
      </c>
    </row>
    <row r="12" spans="2:11" outlineLevel="1" collapsed="1" x14ac:dyDescent="0.25">
      <c r="B12" s="60" t="s">
        <v>83</v>
      </c>
      <c r="C12" s="61">
        <v>114357.79</v>
      </c>
      <c r="E12" s="62">
        <f>+G12/C12</f>
        <v>1</v>
      </c>
      <c r="F12" s="62">
        <f>+H12/C12</f>
        <v>1</v>
      </c>
      <c r="G12" s="63">
        <f>SUM(G13:G38)</f>
        <v>114357.79</v>
      </c>
      <c r="H12" s="63">
        <f>SUM(H13:H38)</f>
        <v>114357.79</v>
      </c>
      <c r="J12" s="90">
        <f t="shared" si="1"/>
        <v>0</v>
      </c>
    </row>
    <row r="13" spans="2:11" hidden="1" outlineLevel="2" x14ac:dyDescent="0.25">
      <c r="B13" s="1" t="s">
        <v>84</v>
      </c>
      <c r="C13" s="44">
        <v>7809.03</v>
      </c>
      <c r="E13" s="50">
        <v>1</v>
      </c>
      <c r="F13" s="50">
        <v>1</v>
      </c>
      <c r="G13" s="51">
        <f t="shared" ref="G13:G53" si="2">+E13*C13</f>
        <v>7809.03</v>
      </c>
      <c r="H13" s="51">
        <f t="shared" ref="H13:H38" si="3">+F13*C13</f>
        <v>7809.03</v>
      </c>
      <c r="J13" s="90">
        <f t="shared" si="1"/>
        <v>0</v>
      </c>
    </row>
    <row r="14" spans="2:11" hidden="1" outlineLevel="2" x14ac:dyDescent="0.25">
      <c r="B14" s="1" t="s">
        <v>85</v>
      </c>
      <c r="C14" s="44">
        <v>5045.08</v>
      </c>
      <c r="E14" s="50">
        <v>1</v>
      </c>
      <c r="F14" s="50">
        <v>1</v>
      </c>
      <c r="G14" s="51">
        <f t="shared" si="2"/>
        <v>5045.08</v>
      </c>
      <c r="H14" s="51">
        <f t="shared" si="3"/>
        <v>5045.08</v>
      </c>
      <c r="J14" s="90">
        <f t="shared" si="1"/>
        <v>0</v>
      </c>
    </row>
    <row r="15" spans="2:11" hidden="1" outlineLevel="2" x14ac:dyDescent="0.25">
      <c r="B15" s="1" t="s">
        <v>86</v>
      </c>
      <c r="C15" s="44">
        <v>2143.3200000000002</v>
      </c>
      <c r="E15" s="50">
        <v>1</v>
      </c>
      <c r="F15" s="50">
        <v>1</v>
      </c>
      <c r="G15" s="64">
        <f t="shared" si="2"/>
        <v>2143.3200000000002</v>
      </c>
      <c r="H15" s="64">
        <f t="shared" si="3"/>
        <v>2143.3200000000002</v>
      </c>
      <c r="J15" s="90">
        <f t="shared" si="1"/>
        <v>0</v>
      </c>
    </row>
    <row r="16" spans="2:11" hidden="1" outlineLevel="2" x14ac:dyDescent="0.25">
      <c r="B16" s="1" t="s">
        <v>87</v>
      </c>
      <c r="C16" s="44">
        <v>2764.5</v>
      </c>
      <c r="E16" s="50">
        <v>1</v>
      </c>
      <c r="F16" s="50">
        <v>1</v>
      </c>
      <c r="G16" s="64">
        <f t="shared" si="2"/>
        <v>2764.5</v>
      </c>
      <c r="H16" s="64">
        <f t="shared" si="3"/>
        <v>2764.5</v>
      </c>
      <c r="J16" s="90">
        <f t="shared" si="1"/>
        <v>0</v>
      </c>
    </row>
    <row r="17" spans="2:10" hidden="1" outlineLevel="2" x14ac:dyDescent="0.25">
      <c r="B17" s="1" t="s">
        <v>88</v>
      </c>
      <c r="C17" s="44">
        <v>1573.13</v>
      </c>
      <c r="E17" s="50">
        <v>1</v>
      </c>
      <c r="F17" s="50">
        <v>1</v>
      </c>
      <c r="G17" s="64">
        <f t="shared" si="2"/>
        <v>1573.13</v>
      </c>
      <c r="H17" s="64">
        <f t="shared" si="3"/>
        <v>1573.13</v>
      </c>
      <c r="J17" s="90">
        <f t="shared" si="1"/>
        <v>0</v>
      </c>
    </row>
    <row r="18" spans="2:10" hidden="1" outlineLevel="2" x14ac:dyDescent="0.25">
      <c r="B18" s="1" t="s">
        <v>89</v>
      </c>
      <c r="C18" s="44">
        <v>549.67999999999995</v>
      </c>
      <c r="E18" s="50">
        <v>1</v>
      </c>
      <c r="F18" s="50">
        <v>1</v>
      </c>
      <c r="G18" s="64">
        <f t="shared" si="2"/>
        <v>549.67999999999995</v>
      </c>
      <c r="H18" s="64">
        <f t="shared" si="3"/>
        <v>549.67999999999995</v>
      </c>
      <c r="J18" s="90">
        <f t="shared" si="1"/>
        <v>0</v>
      </c>
    </row>
    <row r="19" spans="2:10" hidden="1" outlineLevel="2" x14ac:dyDescent="0.25">
      <c r="B19" s="1" t="s">
        <v>90</v>
      </c>
      <c r="C19" s="44">
        <v>1205.1199999999999</v>
      </c>
      <c r="E19" s="50">
        <v>1</v>
      </c>
      <c r="F19" s="50">
        <v>1</v>
      </c>
      <c r="G19" s="64">
        <f t="shared" si="2"/>
        <v>1205.1199999999999</v>
      </c>
      <c r="H19" s="64">
        <f t="shared" si="3"/>
        <v>1205.1199999999999</v>
      </c>
      <c r="J19" s="90">
        <f t="shared" si="1"/>
        <v>0</v>
      </c>
    </row>
    <row r="20" spans="2:10" hidden="1" outlineLevel="2" x14ac:dyDescent="0.25">
      <c r="B20" s="1" t="s">
        <v>91</v>
      </c>
      <c r="C20" s="44">
        <v>903.84</v>
      </c>
      <c r="E20" s="50">
        <v>1</v>
      </c>
      <c r="F20" s="50">
        <v>1</v>
      </c>
      <c r="G20" s="64">
        <f t="shared" si="2"/>
        <v>903.84</v>
      </c>
      <c r="H20" s="64">
        <f t="shared" si="3"/>
        <v>903.84</v>
      </c>
      <c r="J20" s="90">
        <f t="shared" si="1"/>
        <v>0</v>
      </c>
    </row>
    <row r="21" spans="2:10" hidden="1" outlineLevel="2" x14ac:dyDescent="0.25">
      <c r="B21" s="1" t="s">
        <v>92</v>
      </c>
      <c r="C21" s="44">
        <v>1475.2</v>
      </c>
      <c r="E21" s="50">
        <v>1</v>
      </c>
      <c r="F21" s="50">
        <v>1</v>
      </c>
      <c r="G21" s="64">
        <f t="shared" si="2"/>
        <v>1475.2</v>
      </c>
      <c r="H21" s="64">
        <f t="shared" si="3"/>
        <v>1475.2</v>
      </c>
      <c r="J21" s="90">
        <f t="shared" si="1"/>
        <v>0</v>
      </c>
    </row>
    <row r="22" spans="2:10" hidden="1" outlineLevel="2" x14ac:dyDescent="0.25">
      <c r="B22" s="1" t="s">
        <v>93</v>
      </c>
      <c r="C22" s="44">
        <v>2857.22</v>
      </c>
      <c r="E22" s="50">
        <v>1</v>
      </c>
      <c r="F22" s="50">
        <v>1</v>
      </c>
      <c r="G22" s="64">
        <f t="shared" si="2"/>
        <v>2857.22</v>
      </c>
      <c r="H22" s="64">
        <f t="shared" si="3"/>
        <v>2857.22</v>
      </c>
      <c r="J22" s="90">
        <f t="shared" si="1"/>
        <v>0</v>
      </c>
    </row>
    <row r="23" spans="2:10" hidden="1" outlineLevel="2" x14ac:dyDescent="0.25">
      <c r="B23" s="1" t="s">
        <v>94</v>
      </c>
      <c r="C23" s="44">
        <v>2531.7399999999998</v>
      </c>
      <c r="E23" s="50">
        <v>1</v>
      </c>
      <c r="F23" s="50">
        <v>1</v>
      </c>
      <c r="G23" s="64">
        <f t="shared" si="2"/>
        <v>2531.7399999999998</v>
      </c>
      <c r="H23" s="64">
        <f t="shared" si="3"/>
        <v>2531.7399999999998</v>
      </c>
      <c r="J23" s="90">
        <f t="shared" si="1"/>
        <v>0</v>
      </c>
    </row>
    <row r="24" spans="2:10" hidden="1" outlineLevel="2" x14ac:dyDescent="0.25">
      <c r="B24" s="1" t="s">
        <v>95</v>
      </c>
      <c r="C24" s="44">
        <v>574.99</v>
      </c>
      <c r="E24" s="50">
        <v>1</v>
      </c>
      <c r="F24" s="50">
        <v>1</v>
      </c>
      <c r="G24" s="64">
        <f t="shared" si="2"/>
        <v>574.99</v>
      </c>
      <c r="H24" s="64">
        <f t="shared" si="3"/>
        <v>574.99</v>
      </c>
      <c r="J24" s="90">
        <f t="shared" si="1"/>
        <v>0</v>
      </c>
    </row>
    <row r="25" spans="2:10" hidden="1" outlineLevel="2" x14ac:dyDescent="0.25">
      <c r="B25" s="1" t="s">
        <v>96</v>
      </c>
      <c r="C25" s="44">
        <v>3105.23</v>
      </c>
      <c r="E25" s="50">
        <v>1</v>
      </c>
      <c r="F25" s="50">
        <v>1</v>
      </c>
      <c r="G25" s="64">
        <f t="shared" si="2"/>
        <v>3105.23</v>
      </c>
      <c r="H25" s="64">
        <f t="shared" si="3"/>
        <v>3105.23</v>
      </c>
      <c r="J25" s="90">
        <f t="shared" si="1"/>
        <v>0</v>
      </c>
    </row>
    <row r="26" spans="2:10" hidden="1" outlineLevel="2" x14ac:dyDescent="0.25">
      <c r="B26" s="1" t="s">
        <v>97</v>
      </c>
      <c r="C26" s="44">
        <v>350.55</v>
      </c>
      <c r="E26" s="50">
        <v>1</v>
      </c>
      <c r="F26" s="50">
        <v>1</v>
      </c>
      <c r="G26" s="64">
        <f t="shared" si="2"/>
        <v>350.55</v>
      </c>
      <c r="H26" s="64">
        <f t="shared" si="3"/>
        <v>350.55</v>
      </c>
      <c r="J26" s="90">
        <f t="shared" si="1"/>
        <v>0</v>
      </c>
    </row>
    <row r="27" spans="2:10" hidden="1" outlineLevel="2" x14ac:dyDescent="0.25">
      <c r="B27" s="1" t="s">
        <v>98</v>
      </c>
      <c r="C27" s="44">
        <v>574.99</v>
      </c>
      <c r="E27" s="50">
        <v>1</v>
      </c>
      <c r="F27" s="50">
        <v>1</v>
      </c>
      <c r="G27" s="64">
        <f t="shared" si="2"/>
        <v>574.99</v>
      </c>
      <c r="H27" s="64">
        <f t="shared" si="3"/>
        <v>574.99</v>
      </c>
      <c r="J27" s="90">
        <f t="shared" si="1"/>
        <v>0</v>
      </c>
    </row>
    <row r="28" spans="2:10" hidden="1" outlineLevel="2" x14ac:dyDescent="0.25">
      <c r="B28" s="1" t="s">
        <v>99</v>
      </c>
      <c r="C28" s="44">
        <v>11705.73</v>
      </c>
      <c r="E28" s="50">
        <v>1</v>
      </c>
      <c r="F28" s="50">
        <v>1</v>
      </c>
      <c r="G28" s="64">
        <f t="shared" si="2"/>
        <v>11705.73</v>
      </c>
      <c r="H28" s="64">
        <f t="shared" si="3"/>
        <v>11705.73</v>
      </c>
      <c r="J28" s="90">
        <f t="shared" si="1"/>
        <v>0</v>
      </c>
    </row>
    <row r="29" spans="2:10" hidden="1" outlineLevel="2" x14ac:dyDescent="0.25">
      <c r="B29" s="1" t="s">
        <v>100</v>
      </c>
      <c r="C29" s="44">
        <v>6523.48</v>
      </c>
      <c r="E29" s="50">
        <v>1</v>
      </c>
      <c r="F29" s="50">
        <v>1</v>
      </c>
      <c r="G29" s="64">
        <f t="shared" si="2"/>
        <v>6523.48</v>
      </c>
      <c r="H29" s="64">
        <f t="shared" si="3"/>
        <v>6523.48</v>
      </c>
      <c r="J29" s="90">
        <f t="shared" si="1"/>
        <v>0</v>
      </c>
    </row>
    <row r="30" spans="2:10" hidden="1" outlineLevel="2" x14ac:dyDescent="0.25">
      <c r="B30" s="1" t="s">
        <v>101</v>
      </c>
      <c r="C30" s="44">
        <v>3303.29</v>
      </c>
      <c r="E30" s="50">
        <v>1</v>
      </c>
      <c r="F30" s="50">
        <v>1</v>
      </c>
      <c r="G30" s="64">
        <f t="shared" si="2"/>
        <v>3303.29</v>
      </c>
      <c r="H30" s="64">
        <f t="shared" si="3"/>
        <v>3303.29</v>
      </c>
      <c r="J30" s="90">
        <f t="shared" si="1"/>
        <v>0</v>
      </c>
    </row>
    <row r="31" spans="2:10" hidden="1" outlineLevel="2" x14ac:dyDescent="0.25">
      <c r="B31" s="1" t="s">
        <v>102</v>
      </c>
      <c r="C31" s="44">
        <v>5638.16</v>
      </c>
      <c r="E31" s="50">
        <v>1</v>
      </c>
      <c r="F31" s="50">
        <v>1</v>
      </c>
      <c r="G31" s="64">
        <f t="shared" si="2"/>
        <v>5638.16</v>
      </c>
      <c r="H31" s="64">
        <f t="shared" si="3"/>
        <v>5638.16</v>
      </c>
      <c r="J31" s="90">
        <f t="shared" si="1"/>
        <v>0</v>
      </c>
    </row>
    <row r="32" spans="2:10" hidden="1" outlineLevel="2" x14ac:dyDescent="0.25">
      <c r="B32" s="1" t="s">
        <v>103</v>
      </c>
      <c r="C32" s="44">
        <v>6583.86</v>
      </c>
      <c r="E32" s="50">
        <v>1</v>
      </c>
      <c r="F32" s="50">
        <v>1</v>
      </c>
      <c r="G32" s="64">
        <f t="shared" si="2"/>
        <v>6583.86</v>
      </c>
      <c r="H32" s="64">
        <f t="shared" si="3"/>
        <v>6583.86</v>
      </c>
      <c r="J32" s="90">
        <f t="shared" si="1"/>
        <v>0</v>
      </c>
    </row>
    <row r="33" spans="2:10" hidden="1" outlineLevel="2" x14ac:dyDescent="0.25">
      <c r="B33" s="1" t="s">
        <v>104</v>
      </c>
      <c r="C33" s="44">
        <v>30432.38</v>
      </c>
      <c r="E33" s="50">
        <v>1</v>
      </c>
      <c r="F33" s="50">
        <v>1</v>
      </c>
      <c r="G33" s="64">
        <f t="shared" si="2"/>
        <v>30432.38</v>
      </c>
      <c r="H33" s="64">
        <f t="shared" si="3"/>
        <v>30432.38</v>
      </c>
      <c r="J33" s="90">
        <f t="shared" si="1"/>
        <v>0</v>
      </c>
    </row>
    <row r="34" spans="2:10" hidden="1" outlineLevel="2" x14ac:dyDescent="0.25">
      <c r="B34" s="1" t="s">
        <v>105</v>
      </c>
      <c r="C34" s="44">
        <v>1632.22</v>
      </c>
      <c r="E34" s="50">
        <v>1</v>
      </c>
      <c r="F34" s="50">
        <v>1</v>
      </c>
      <c r="G34" s="64">
        <f t="shared" si="2"/>
        <v>1632.22</v>
      </c>
      <c r="H34" s="64">
        <f t="shared" si="3"/>
        <v>1632.22</v>
      </c>
      <c r="J34" s="90">
        <f t="shared" si="1"/>
        <v>0</v>
      </c>
    </row>
    <row r="35" spans="2:10" hidden="1" outlineLevel="2" x14ac:dyDescent="0.25">
      <c r="B35" s="1" t="s">
        <v>106</v>
      </c>
      <c r="C35" s="44">
        <v>2325.48</v>
      </c>
      <c r="E35" s="50">
        <v>1</v>
      </c>
      <c r="F35" s="50">
        <v>1</v>
      </c>
      <c r="G35" s="64">
        <f t="shared" si="2"/>
        <v>2325.48</v>
      </c>
      <c r="H35" s="64">
        <f t="shared" si="3"/>
        <v>2325.48</v>
      </c>
      <c r="J35" s="90">
        <f t="shared" si="1"/>
        <v>0</v>
      </c>
    </row>
    <row r="36" spans="2:10" hidden="1" outlineLevel="2" x14ac:dyDescent="0.25">
      <c r="B36" s="1" t="s">
        <v>107</v>
      </c>
      <c r="C36" s="44">
        <v>7596</v>
      </c>
      <c r="E36" s="50">
        <v>1</v>
      </c>
      <c r="F36" s="50">
        <v>1</v>
      </c>
      <c r="G36" s="64">
        <f t="shared" si="2"/>
        <v>7596</v>
      </c>
      <c r="H36" s="64">
        <f t="shared" si="3"/>
        <v>7596</v>
      </c>
      <c r="J36" s="90">
        <f t="shared" si="1"/>
        <v>0</v>
      </c>
    </row>
    <row r="37" spans="2:10" hidden="1" outlineLevel="2" x14ac:dyDescent="0.25">
      <c r="B37" s="1" t="s">
        <v>108</v>
      </c>
      <c r="C37" s="44">
        <v>2148.17</v>
      </c>
      <c r="E37" s="50">
        <v>1</v>
      </c>
      <c r="F37" s="50">
        <v>1</v>
      </c>
      <c r="G37" s="64">
        <f t="shared" si="2"/>
        <v>2148.17</v>
      </c>
      <c r="H37" s="64">
        <f t="shared" si="3"/>
        <v>2148.17</v>
      </c>
      <c r="J37" s="90">
        <f t="shared" si="1"/>
        <v>0</v>
      </c>
    </row>
    <row r="38" spans="2:10" hidden="1" outlineLevel="2" x14ac:dyDescent="0.25">
      <c r="B38" s="1" t="s">
        <v>109</v>
      </c>
      <c r="C38" s="44">
        <v>3005.4</v>
      </c>
      <c r="E38" s="50">
        <v>1</v>
      </c>
      <c r="F38" s="50">
        <v>1</v>
      </c>
      <c r="G38" s="64">
        <f t="shared" si="2"/>
        <v>3005.4</v>
      </c>
      <c r="H38" s="64">
        <f t="shared" si="3"/>
        <v>3005.4</v>
      </c>
      <c r="J38" s="90">
        <f t="shared" si="1"/>
        <v>0</v>
      </c>
    </row>
    <row r="39" spans="2:10" outlineLevel="1" collapsed="1" x14ac:dyDescent="0.25">
      <c r="B39" s="60" t="s">
        <v>110</v>
      </c>
      <c r="C39" s="61">
        <v>142526.66</v>
      </c>
      <c r="E39" s="62">
        <f>+G39/C39</f>
        <v>1</v>
      </c>
      <c r="F39" s="62">
        <f>+H39/C39</f>
        <v>1</v>
      </c>
      <c r="G39" s="63">
        <f>SUM(G40:G53)</f>
        <v>142526.66</v>
      </c>
      <c r="H39" s="63">
        <f>SUM(H40:H53)</f>
        <v>142526.66</v>
      </c>
      <c r="J39" s="96">
        <f t="shared" si="1"/>
        <v>0</v>
      </c>
    </row>
    <row r="40" spans="2:10" hidden="1" outlineLevel="2" x14ac:dyDescent="0.25">
      <c r="B40" s="1" t="s">
        <v>111</v>
      </c>
      <c r="C40" s="44">
        <v>0</v>
      </c>
      <c r="E40" s="50">
        <v>1</v>
      </c>
      <c r="F40" s="50">
        <v>1</v>
      </c>
      <c r="G40" s="64">
        <f t="shared" si="2"/>
        <v>0</v>
      </c>
      <c r="H40" s="64">
        <f t="shared" ref="H40:H53" si="4">+F40*C40</f>
        <v>0</v>
      </c>
      <c r="J40" s="91"/>
    </row>
    <row r="41" spans="2:10" hidden="1" outlineLevel="2" x14ac:dyDescent="0.25">
      <c r="B41" s="1" t="s">
        <v>112</v>
      </c>
      <c r="C41" s="44">
        <v>0</v>
      </c>
      <c r="E41" s="50">
        <v>1</v>
      </c>
      <c r="F41" s="50">
        <v>1</v>
      </c>
      <c r="G41" s="64">
        <f t="shared" si="2"/>
        <v>0</v>
      </c>
      <c r="H41" s="64">
        <f t="shared" si="4"/>
        <v>0</v>
      </c>
      <c r="J41" s="91"/>
    </row>
    <row r="42" spans="2:10" hidden="1" outlineLevel="2" x14ac:dyDescent="0.25">
      <c r="B42" s="1" t="s">
        <v>113</v>
      </c>
      <c r="C42" s="44">
        <v>6659.71</v>
      </c>
      <c r="E42" s="50">
        <v>1</v>
      </c>
      <c r="F42" s="50">
        <v>1</v>
      </c>
      <c r="G42" s="64">
        <f t="shared" si="2"/>
        <v>6659.71</v>
      </c>
      <c r="H42" s="64">
        <f t="shared" si="4"/>
        <v>6659.71</v>
      </c>
      <c r="J42" s="91"/>
    </row>
    <row r="43" spans="2:10" hidden="1" outlineLevel="2" x14ac:dyDescent="0.25">
      <c r="B43" s="1" t="s">
        <v>114</v>
      </c>
      <c r="C43" s="44">
        <v>1630.51</v>
      </c>
      <c r="E43" s="50">
        <v>1</v>
      </c>
      <c r="F43" s="50">
        <v>1</v>
      </c>
      <c r="G43" s="64">
        <f t="shared" si="2"/>
        <v>1630.51</v>
      </c>
      <c r="H43" s="64">
        <f t="shared" si="4"/>
        <v>1630.51</v>
      </c>
      <c r="J43" s="91"/>
    </row>
    <row r="44" spans="2:10" hidden="1" outlineLevel="2" x14ac:dyDescent="0.25">
      <c r="B44" s="1" t="s">
        <v>115</v>
      </c>
      <c r="C44" s="44">
        <v>28258.41</v>
      </c>
      <c r="E44" s="50">
        <v>1</v>
      </c>
      <c r="F44" s="50">
        <v>1</v>
      </c>
      <c r="G44" s="64">
        <f t="shared" si="2"/>
        <v>28258.41</v>
      </c>
      <c r="H44" s="64">
        <f t="shared" si="4"/>
        <v>28258.41</v>
      </c>
      <c r="J44" s="91"/>
    </row>
    <row r="45" spans="2:10" hidden="1" outlineLevel="2" x14ac:dyDescent="0.25">
      <c r="B45" s="1" t="s">
        <v>116</v>
      </c>
      <c r="C45" s="44">
        <v>6623.16</v>
      </c>
      <c r="E45" s="50">
        <v>1</v>
      </c>
      <c r="F45" s="50">
        <v>1</v>
      </c>
      <c r="G45" s="64">
        <f t="shared" si="2"/>
        <v>6623.16</v>
      </c>
      <c r="H45" s="64">
        <f t="shared" si="4"/>
        <v>6623.16</v>
      </c>
      <c r="J45" s="91"/>
    </row>
    <row r="46" spans="2:10" hidden="1" outlineLevel="2" x14ac:dyDescent="0.25">
      <c r="B46" s="1" t="s">
        <v>117</v>
      </c>
      <c r="C46" s="44">
        <v>8627.4</v>
      </c>
      <c r="E46" s="50">
        <v>1</v>
      </c>
      <c r="F46" s="50">
        <v>1</v>
      </c>
      <c r="G46" s="64">
        <f t="shared" si="2"/>
        <v>8627.4</v>
      </c>
      <c r="H46" s="64">
        <f t="shared" si="4"/>
        <v>8627.4</v>
      </c>
      <c r="J46" s="91"/>
    </row>
    <row r="47" spans="2:10" hidden="1" outlineLevel="2" x14ac:dyDescent="0.25">
      <c r="B47" s="1" t="s">
        <v>118</v>
      </c>
      <c r="C47" s="44">
        <v>4759.74</v>
      </c>
      <c r="E47" s="50">
        <v>1</v>
      </c>
      <c r="F47" s="50">
        <v>1</v>
      </c>
      <c r="G47" s="64">
        <f t="shared" si="2"/>
        <v>4759.74</v>
      </c>
      <c r="H47" s="64">
        <f t="shared" si="4"/>
        <v>4759.74</v>
      </c>
      <c r="J47" s="91"/>
    </row>
    <row r="48" spans="2:10" hidden="1" outlineLevel="2" x14ac:dyDescent="0.25">
      <c r="B48" s="1" t="s">
        <v>119</v>
      </c>
      <c r="C48" s="44">
        <v>1930.42</v>
      </c>
      <c r="E48" s="50">
        <v>1</v>
      </c>
      <c r="F48" s="50">
        <v>1</v>
      </c>
      <c r="G48" s="64">
        <f t="shared" si="2"/>
        <v>1930.42</v>
      </c>
      <c r="H48" s="64">
        <f t="shared" si="4"/>
        <v>1930.42</v>
      </c>
      <c r="J48" s="91"/>
    </row>
    <row r="49" spans="2:10" hidden="1" outlineLevel="2" x14ac:dyDescent="0.25">
      <c r="B49" s="1" t="s">
        <v>120</v>
      </c>
      <c r="C49" s="44">
        <v>15378.5</v>
      </c>
      <c r="E49" s="50">
        <v>1</v>
      </c>
      <c r="F49" s="50">
        <v>1</v>
      </c>
      <c r="G49" s="64">
        <f t="shared" si="2"/>
        <v>15378.5</v>
      </c>
      <c r="H49" s="64">
        <f t="shared" si="4"/>
        <v>15378.5</v>
      </c>
      <c r="J49" s="91"/>
    </row>
    <row r="50" spans="2:10" hidden="1" outlineLevel="2" x14ac:dyDescent="0.25">
      <c r="B50" s="1" t="s">
        <v>121</v>
      </c>
      <c r="C50" s="44">
        <v>0</v>
      </c>
      <c r="E50" s="50">
        <v>1</v>
      </c>
      <c r="F50" s="50">
        <v>1</v>
      </c>
      <c r="G50" s="64">
        <f t="shared" si="2"/>
        <v>0</v>
      </c>
      <c r="H50" s="64">
        <f t="shared" si="4"/>
        <v>0</v>
      </c>
      <c r="J50" s="91"/>
    </row>
    <row r="51" spans="2:10" hidden="1" outlineLevel="2" x14ac:dyDescent="0.25">
      <c r="B51" s="1" t="s">
        <v>122</v>
      </c>
      <c r="C51" s="44">
        <v>12036.42</v>
      </c>
      <c r="E51" s="50">
        <v>1</v>
      </c>
      <c r="F51" s="50">
        <v>1</v>
      </c>
      <c r="G51" s="64">
        <f t="shared" si="2"/>
        <v>12036.42</v>
      </c>
      <c r="H51" s="64">
        <f t="shared" si="4"/>
        <v>12036.42</v>
      </c>
      <c r="J51" s="91"/>
    </row>
    <row r="52" spans="2:10" hidden="1" outlineLevel="2" x14ac:dyDescent="0.25">
      <c r="B52" s="1" t="s">
        <v>123</v>
      </c>
      <c r="C52" s="44">
        <v>43281.54</v>
      </c>
      <c r="E52" s="50">
        <v>1</v>
      </c>
      <c r="F52" s="50">
        <v>1</v>
      </c>
      <c r="G52" s="64">
        <f t="shared" si="2"/>
        <v>43281.54</v>
      </c>
      <c r="H52" s="64">
        <f t="shared" si="4"/>
        <v>43281.54</v>
      </c>
      <c r="J52" s="91"/>
    </row>
    <row r="53" spans="2:10" hidden="1" outlineLevel="2" x14ac:dyDescent="0.25">
      <c r="B53" s="1" t="s">
        <v>124</v>
      </c>
      <c r="C53" s="44">
        <v>13340.85</v>
      </c>
      <c r="E53" s="50">
        <v>1</v>
      </c>
      <c r="F53" s="50">
        <v>1</v>
      </c>
      <c r="G53" s="64">
        <f t="shared" si="2"/>
        <v>13340.85</v>
      </c>
      <c r="H53" s="64">
        <f t="shared" si="4"/>
        <v>13340.85</v>
      </c>
      <c r="J53" s="91"/>
    </row>
    <row r="54" spans="2:10" outlineLevel="1" collapsed="1" x14ac:dyDescent="0.25">
      <c r="B54" s="60" t="s">
        <v>125</v>
      </c>
      <c r="C54" s="61">
        <v>19320.240000000002</v>
      </c>
      <c r="E54" s="62">
        <f>+G54/C54</f>
        <v>0.98999999999999988</v>
      </c>
      <c r="F54" s="62">
        <v>0.55000000000000004</v>
      </c>
      <c r="G54" s="63">
        <f>+G55</f>
        <v>19127.0376</v>
      </c>
      <c r="H54" s="63">
        <f>+H55</f>
        <v>9660.1200000000008</v>
      </c>
      <c r="J54" s="91"/>
    </row>
    <row r="55" spans="2:10" hidden="1" outlineLevel="2" x14ac:dyDescent="0.25">
      <c r="B55" s="1" t="s">
        <v>126</v>
      </c>
      <c r="C55" s="44">
        <v>19320.240000000002</v>
      </c>
      <c r="E55" s="50">
        <v>0.99</v>
      </c>
      <c r="F55" s="50">
        <v>0.5</v>
      </c>
      <c r="G55" s="64">
        <f>+E55*C55</f>
        <v>19127.0376</v>
      </c>
      <c r="H55" s="64">
        <f>+F55*C55</f>
        <v>9660.1200000000008</v>
      </c>
      <c r="J55" s="91"/>
    </row>
    <row r="56" spans="2:10" outlineLevel="1" collapsed="1" x14ac:dyDescent="0.25">
      <c r="B56" s="60" t="s">
        <v>461</v>
      </c>
      <c r="C56" s="61">
        <v>118803.13</v>
      </c>
      <c r="E56" s="62">
        <f>+G56/C56</f>
        <v>1</v>
      </c>
      <c r="F56" s="62">
        <f>+H56/C56</f>
        <v>0.40728336029530532</v>
      </c>
      <c r="G56" s="63">
        <f>SUM(G57:G81)</f>
        <v>118803.13</v>
      </c>
      <c r="H56" s="63">
        <f>SUM(H57:H81)</f>
        <v>48386.538</v>
      </c>
      <c r="J56" s="96">
        <f t="shared" ref="J56" si="5">+F56-E56</f>
        <v>-0.59271663970469468</v>
      </c>
    </row>
    <row r="57" spans="2:10" hidden="1" outlineLevel="2" x14ac:dyDescent="0.25">
      <c r="B57" s="1" t="s">
        <v>128</v>
      </c>
      <c r="C57" s="44">
        <v>706.06</v>
      </c>
      <c r="E57" s="50">
        <v>1</v>
      </c>
      <c r="F57" s="50">
        <v>1</v>
      </c>
      <c r="G57" s="64">
        <f t="shared" ref="G57:G81" si="6">+E57*C57</f>
        <v>706.06</v>
      </c>
      <c r="H57" s="64">
        <f t="shared" ref="H57:H81" si="7">+F57*C57</f>
        <v>706.06</v>
      </c>
      <c r="J57" s="91"/>
    </row>
    <row r="58" spans="2:10" hidden="1" outlineLevel="2" x14ac:dyDescent="0.25">
      <c r="B58" s="1" t="s">
        <v>129</v>
      </c>
      <c r="C58" s="44">
        <v>2255.35</v>
      </c>
      <c r="E58" s="50">
        <v>1</v>
      </c>
      <c r="F58" s="50">
        <v>1</v>
      </c>
      <c r="G58" s="64">
        <f t="shared" si="6"/>
        <v>2255.35</v>
      </c>
      <c r="H58" s="64">
        <f t="shared" si="7"/>
        <v>2255.35</v>
      </c>
      <c r="J58" s="91"/>
    </row>
    <row r="59" spans="2:10" hidden="1" outlineLevel="2" x14ac:dyDescent="0.25">
      <c r="B59" s="1" t="s">
        <v>130</v>
      </c>
      <c r="C59" s="44">
        <v>3503.1</v>
      </c>
      <c r="E59" s="50">
        <v>1</v>
      </c>
      <c r="F59" s="50">
        <v>1</v>
      </c>
      <c r="G59" s="64">
        <f t="shared" si="6"/>
        <v>3503.1</v>
      </c>
      <c r="H59" s="64">
        <f t="shared" si="7"/>
        <v>3503.1</v>
      </c>
      <c r="J59" s="91"/>
    </row>
    <row r="60" spans="2:10" hidden="1" outlineLevel="2" x14ac:dyDescent="0.25">
      <c r="B60" s="1" t="s">
        <v>131</v>
      </c>
      <c r="C60" s="44">
        <v>2909.44</v>
      </c>
      <c r="E60" s="50">
        <v>1</v>
      </c>
      <c r="F60" s="50">
        <v>1</v>
      </c>
      <c r="G60" s="64">
        <f t="shared" si="6"/>
        <v>2909.44</v>
      </c>
      <c r="H60" s="64">
        <f t="shared" si="7"/>
        <v>2909.44</v>
      </c>
      <c r="J60" s="91"/>
    </row>
    <row r="61" spans="2:10" hidden="1" outlineLevel="2" x14ac:dyDescent="0.25">
      <c r="B61" s="1" t="s">
        <v>132</v>
      </c>
      <c r="C61" s="44">
        <v>2315.7600000000002</v>
      </c>
      <c r="E61" s="50">
        <v>1</v>
      </c>
      <c r="F61" s="50">
        <v>1</v>
      </c>
      <c r="G61" s="64">
        <f t="shared" si="6"/>
        <v>2315.7600000000002</v>
      </c>
      <c r="H61" s="64">
        <f t="shared" si="7"/>
        <v>2315.7600000000002</v>
      </c>
      <c r="J61" s="91"/>
    </row>
    <row r="62" spans="2:10" hidden="1" outlineLevel="2" x14ac:dyDescent="0.25">
      <c r="B62" s="1" t="s">
        <v>133</v>
      </c>
      <c r="C62" s="44">
        <v>7986.5</v>
      </c>
      <c r="E62" s="50">
        <v>1</v>
      </c>
      <c r="F62" s="50">
        <v>1</v>
      </c>
      <c r="G62" s="64">
        <f t="shared" si="6"/>
        <v>7986.5</v>
      </c>
      <c r="H62" s="64">
        <f t="shared" si="7"/>
        <v>7986.5</v>
      </c>
      <c r="J62" s="91"/>
    </row>
    <row r="63" spans="2:10" hidden="1" outlineLevel="2" x14ac:dyDescent="0.25">
      <c r="B63" s="1" t="s">
        <v>134</v>
      </c>
      <c r="C63" s="44">
        <v>12681.12</v>
      </c>
      <c r="E63" s="50">
        <v>1</v>
      </c>
      <c r="F63" s="50">
        <v>1</v>
      </c>
      <c r="G63" s="64">
        <f t="shared" si="6"/>
        <v>12681.12</v>
      </c>
      <c r="H63" s="64">
        <f t="shared" si="7"/>
        <v>12681.12</v>
      </c>
      <c r="J63" s="91"/>
    </row>
    <row r="64" spans="2:10" hidden="1" outlineLevel="2" x14ac:dyDescent="0.25">
      <c r="B64" s="1" t="s">
        <v>135</v>
      </c>
      <c r="C64" s="44">
        <v>2427.91</v>
      </c>
      <c r="E64" s="50">
        <v>1</v>
      </c>
      <c r="F64" s="50">
        <v>0.6</v>
      </c>
      <c r="G64" s="64">
        <f t="shared" si="6"/>
        <v>2427.91</v>
      </c>
      <c r="H64" s="64">
        <f t="shared" si="7"/>
        <v>1456.7459999999999</v>
      </c>
      <c r="J64" s="91"/>
    </row>
    <row r="65" spans="2:10" hidden="1" outlineLevel="2" x14ac:dyDescent="0.25">
      <c r="B65" s="1" t="s">
        <v>136</v>
      </c>
      <c r="C65" s="44">
        <v>4151.0200000000004</v>
      </c>
      <c r="E65" s="50">
        <v>1</v>
      </c>
      <c r="F65" s="50">
        <v>0.7</v>
      </c>
      <c r="G65" s="64">
        <f t="shared" si="6"/>
        <v>4151.0200000000004</v>
      </c>
      <c r="H65" s="64">
        <f t="shared" si="7"/>
        <v>2905.7139999999999</v>
      </c>
      <c r="J65" s="91"/>
    </row>
    <row r="66" spans="2:10" hidden="1" outlineLevel="2" x14ac:dyDescent="0.25">
      <c r="B66" s="1" t="s">
        <v>137</v>
      </c>
      <c r="C66" s="44">
        <v>1305.8399999999999</v>
      </c>
      <c r="E66" s="50">
        <v>1</v>
      </c>
      <c r="F66" s="50">
        <v>0.7</v>
      </c>
      <c r="G66" s="64">
        <f t="shared" si="6"/>
        <v>1305.8399999999999</v>
      </c>
      <c r="H66" s="64">
        <f t="shared" si="7"/>
        <v>914.08799999999985</v>
      </c>
      <c r="J66" s="91"/>
    </row>
    <row r="67" spans="2:10" hidden="1" outlineLevel="2" x14ac:dyDescent="0.25">
      <c r="B67" s="1" t="s">
        <v>138</v>
      </c>
      <c r="C67" s="44">
        <v>4403.43</v>
      </c>
      <c r="E67" s="50">
        <v>1</v>
      </c>
      <c r="F67" s="50">
        <v>0.8</v>
      </c>
      <c r="G67" s="64">
        <f t="shared" si="6"/>
        <v>4403.43</v>
      </c>
      <c r="H67" s="64">
        <f t="shared" si="7"/>
        <v>3522.7440000000006</v>
      </c>
      <c r="J67" s="91"/>
    </row>
    <row r="68" spans="2:10" hidden="1" outlineLevel="2" x14ac:dyDescent="0.25">
      <c r="B68" s="1" t="s">
        <v>139</v>
      </c>
      <c r="C68" s="44">
        <v>3285.06</v>
      </c>
      <c r="E68" s="50">
        <v>1</v>
      </c>
      <c r="F68" s="50">
        <v>0.15</v>
      </c>
      <c r="G68" s="64">
        <f t="shared" si="6"/>
        <v>3285.06</v>
      </c>
      <c r="H68" s="64">
        <f t="shared" si="7"/>
        <v>492.75899999999996</v>
      </c>
      <c r="J68" s="91"/>
    </row>
    <row r="69" spans="2:10" hidden="1" outlineLevel="2" x14ac:dyDescent="0.25">
      <c r="B69" s="1" t="s">
        <v>468</v>
      </c>
      <c r="C69" s="44">
        <v>22457.19</v>
      </c>
      <c r="E69" s="50">
        <v>1</v>
      </c>
      <c r="F69" s="50">
        <v>0.3</v>
      </c>
      <c r="G69" s="64">
        <f t="shared" si="6"/>
        <v>22457.19</v>
      </c>
      <c r="H69" s="64">
        <f t="shared" si="7"/>
        <v>6737.1569999999992</v>
      </c>
      <c r="J69" s="91"/>
    </row>
    <row r="70" spans="2:10" hidden="1" outlineLevel="2" x14ac:dyDescent="0.25">
      <c r="B70" s="1" t="s">
        <v>141</v>
      </c>
      <c r="C70" s="44">
        <v>24413.52</v>
      </c>
      <c r="E70" s="50">
        <v>1</v>
      </c>
      <c r="F70" s="50">
        <v>0</v>
      </c>
      <c r="G70" s="64">
        <f t="shared" si="6"/>
        <v>24413.52</v>
      </c>
      <c r="H70" s="64">
        <f t="shared" si="7"/>
        <v>0</v>
      </c>
      <c r="J70" s="91"/>
    </row>
    <row r="71" spans="2:10" hidden="1" outlineLevel="2" x14ac:dyDescent="0.25">
      <c r="B71" s="1" t="s">
        <v>105</v>
      </c>
      <c r="C71" s="44">
        <v>1977</v>
      </c>
      <c r="E71" s="50">
        <v>1</v>
      </c>
      <c r="F71" s="50">
        <v>0</v>
      </c>
      <c r="G71" s="64">
        <f t="shared" si="6"/>
        <v>1977</v>
      </c>
      <c r="H71" s="64">
        <f t="shared" si="7"/>
        <v>0</v>
      </c>
      <c r="J71" s="91"/>
    </row>
    <row r="72" spans="2:10" hidden="1" outlineLevel="2" x14ac:dyDescent="0.25">
      <c r="B72" s="1" t="s">
        <v>142</v>
      </c>
      <c r="C72" s="44">
        <v>6758.73</v>
      </c>
      <c r="E72" s="50">
        <v>1</v>
      </c>
      <c r="F72" s="50">
        <v>0</v>
      </c>
      <c r="G72" s="64">
        <f t="shared" si="6"/>
        <v>6758.73</v>
      </c>
      <c r="H72" s="64">
        <f t="shared" si="7"/>
        <v>0</v>
      </c>
      <c r="J72" s="91"/>
    </row>
    <row r="73" spans="2:10" hidden="1" outlineLevel="2" x14ac:dyDescent="0.25">
      <c r="B73" s="1" t="s">
        <v>143</v>
      </c>
      <c r="C73" s="44">
        <v>5471.78</v>
      </c>
      <c r="E73" s="50">
        <v>1</v>
      </c>
      <c r="F73" s="50">
        <v>0</v>
      </c>
      <c r="G73" s="64">
        <f t="shared" si="6"/>
        <v>5471.78</v>
      </c>
      <c r="H73" s="64">
        <f t="shared" si="7"/>
        <v>0</v>
      </c>
      <c r="J73" s="91"/>
    </row>
    <row r="74" spans="2:10" hidden="1" outlineLevel="2" x14ac:dyDescent="0.25">
      <c r="B74" s="1" t="s">
        <v>90</v>
      </c>
      <c r="C74" s="44">
        <v>1411.38</v>
      </c>
      <c r="E74" s="50">
        <v>1</v>
      </c>
      <c r="F74" s="50">
        <v>0</v>
      </c>
      <c r="G74" s="64">
        <f t="shared" si="6"/>
        <v>1411.38</v>
      </c>
      <c r="H74" s="64">
        <f t="shared" si="7"/>
        <v>0</v>
      </c>
      <c r="J74" s="91"/>
    </row>
    <row r="75" spans="2:10" hidden="1" outlineLevel="2" x14ac:dyDescent="0.25">
      <c r="B75" s="1" t="s">
        <v>91</v>
      </c>
      <c r="C75" s="44">
        <v>1411.38</v>
      </c>
      <c r="E75" s="50">
        <v>1</v>
      </c>
      <c r="F75" s="50">
        <v>0</v>
      </c>
      <c r="G75" s="64">
        <f t="shared" si="6"/>
        <v>1411.38</v>
      </c>
      <c r="H75" s="64">
        <f t="shared" si="7"/>
        <v>0</v>
      </c>
      <c r="J75" s="91"/>
    </row>
    <row r="76" spans="2:10" hidden="1" outlineLevel="2" x14ac:dyDescent="0.25">
      <c r="B76" s="1" t="s">
        <v>144</v>
      </c>
      <c r="C76" s="44">
        <v>1227.26</v>
      </c>
      <c r="E76" s="50">
        <v>1</v>
      </c>
      <c r="F76" s="50">
        <v>0</v>
      </c>
      <c r="G76" s="64">
        <f t="shared" si="6"/>
        <v>1227.26</v>
      </c>
      <c r="H76" s="64">
        <f t="shared" si="7"/>
        <v>0</v>
      </c>
      <c r="J76" s="91"/>
    </row>
    <row r="77" spans="2:10" hidden="1" outlineLevel="2" x14ac:dyDescent="0.25">
      <c r="B77" s="1" t="s">
        <v>145</v>
      </c>
      <c r="C77" s="44">
        <v>2250.4299999999998</v>
      </c>
      <c r="E77" s="50">
        <v>1</v>
      </c>
      <c r="F77" s="50">
        <v>0</v>
      </c>
      <c r="G77" s="64">
        <f t="shared" si="6"/>
        <v>2250.4299999999998</v>
      </c>
      <c r="H77" s="64">
        <f t="shared" si="7"/>
        <v>0</v>
      </c>
      <c r="J77" s="91"/>
    </row>
    <row r="78" spans="2:10" hidden="1" outlineLevel="2" x14ac:dyDescent="0.25">
      <c r="B78" s="1" t="s">
        <v>95</v>
      </c>
      <c r="C78" s="44">
        <v>574.99</v>
      </c>
      <c r="E78" s="50">
        <v>1</v>
      </c>
      <c r="F78" s="50">
        <v>0</v>
      </c>
      <c r="G78" s="64">
        <f t="shared" si="6"/>
        <v>574.99</v>
      </c>
      <c r="H78" s="64">
        <f t="shared" si="7"/>
        <v>0</v>
      </c>
      <c r="J78" s="91"/>
    </row>
    <row r="79" spans="2:10" hidden="1" outlineLevel="2" x14ac:dyDescent="0.25">
      <c r="B79" s="1" t="s">
        <v>146</v>
      </c>
      <c r="C79" s="44">
        <v>1376.37</v>
      </c>
      <c r="E79" s="50">
        <v>1</v>
      </c>
      <c r="F79" s="50">
        <v>0</v>
      </c>
      <c r="G79" s="64">
        <f t="shared" si="6"/>
        <v>1376.37</v>
      </c>
      <c r="H79" s="64">
        <f t="shared" si="7"/>
        <v>0</v>
      </c>
      <c r="J79" s="91"/>
    </row>
    <row r="80" spans="2:10" hidden="1" outlineLevel="2" x14ac:dyDescent="0.25">
      <c r="B80" s="1" t="s">
        <v>147</v>
      </c>
      <c r="C80" s="44">
        <v>967.52</v>
      </c>
      <c r="E80" s="50">
        <v>1</v>
      </c>
      <c r="F80" s="50">
        <v>0</v>
      </c>
      <c r="G80" s="64">
        <f t="shared" si="6"/>
        <v>967.52</v>
      </c>
      <c r="H80" s="64">
        <f t="shared" si="7"/>
        <v>0</v>
      </c>
      <c r="J80" s="91"/>
    </row>
    <row r="81" spans="2:10" hidden="1" outlineLevel="2" x14ac:dyDescent="0.25">
      <c r="B81" s="1" t="s">
        <v>98</v>
      </c>
      <c r="C81" s="44">
        <v>574.99</v>
      </c>
      <c r="E81" s="50">
        <v>1</v>
      </c>
      <c r="F81" s="50">
        <v>0</v>
      </c>
      <c r="G81" s="64">
        <f t="shared" si="6"/>
        <v>574.99</v>
      </c>
      <c r="H81" s="64">
        <f t="shared" si="7"/>
        <v>0</v>
      </c>
      <c r="J81" s="91"/>
    </row>
    <row r="82" spans="2:10" outlineLevel="1" collapsed="1" x14ac:dyDescent="0.25">
      <c r="B82" s="60" t="s">
        <v>148</v>
      </c>
      <c r="C82" s="61">
        <v>203302.15</v>
      </c>
      <c r="E82" s="62">
        <f>+G82/C82</f>
        <v>0.75265088441022399</v>
      </c>
      <c r="F82" s="62">
        <f>+H82/C82</f>
        <v>0</v>
      </c>
      <c r="G82" s="63">
        <f>SUM(G83:G93)</f>
        <v>153015.54300000001</v>
      </c>
      <c r="H82" s="63">
        <f>SUM(H83:H93)</f>
        <v>0</v>
      </c>
      <c r="J82" s="91"/>
    </row>
    <row r="83" spans="2:10" hidden="1" outlineLevel="2" x14ac:dyDescent="0.25">
      <c r="B83" s="1" t="s">
        <v>149</v>
      </c>
      <c r="C83" s="44">
        <v>0</v>
      </c>
      <c r="E83" s="50">
        <v>1</v>
      </c>
      <c r="F83" s="50">
        <v>0</v>
      </c>
      <c r="G83" s="64">
        <f t="shared" ref="G83:G93" si="8">+E83*C83</f>
        <v>0</v>
      </c>
      <c r="H83" s="64">
        <f t="shared" ref="H83:H93" si="9">+F83*C83</f>
        <v>0</v>
      </c>
      <c r="J83" s="91"/>
    </row>
    <row r="84" spans="2:10" hidden="1" outlineLevel="2" x14ac:dyDescent="0.25">
      <c r="B84" s="1" t="s">
        <v>112</v>
      </c>
      <c r="C84" s="44">
        <v>6504.92</v>
      </c>
      <c r="E84" s="50">
        <v>0.8</v>
      </c>
      <c r="F84" s="50">
        <v>0</v>
      </c>
      <c r="G84" s="64">
        <f t="shared" si="8"/>
        <v>5203.9360000000006</v>
      </c>
      <c r="H84" s="64">
        <f t="shared" si="9"/>
        <v>0</v>
      </c>
      <c r="J84" s="91"/>
    </row>
    <row r="85" spans="2:10" hidden="1" outlineLevel="2" x14ac:dyDescent="0.25">
      <c r="B85" s="1" t="s">
        <v>113</v>
      </c>
      <c r="C85" s="44">
        <v>11814.9</v>
      </c>
      <c r="E85" s="50">
        <v>0.8</v>
      </c>
      <c r="F85" s="50">
        <v>0</v>
      </c>
      <c r="G85" s="64">
        <f t="shared" si="8"/>
        <v>9451.92</v>
      </c>
      <c r="H85" s="64">
        <f t="shared" si="9"/>
        <v>0</v>
      </c>
      <c r="J85" s="91"/>
    </row>
    <row r="86" spans="2:10" hidden="1" outlineLevel="2" x14ac:dyDescent="0.25">
      <c r="B86" s="1" t="s">
        <v>114</v>
      </c>
      <c r="C86" s="44">
        <v>5150.71</v>
      </c>
      <c r="E86" s="50">
        <v>0.8</v>
      </c>
      <c r="F86" s="50">
        <v>0</v>
      </c>
      <c r="G86" s="64">
        <f t="shared" si="8"/>
        <v>4120.5680000000002</v>
      </c>
      <c r="H86" s="64">
        <f t="shared" si="9"/>
        <v>0</v>
      </c>
      <c r="J86" s="91"/>
    </row>
    <row r="87" spans="2:10" hidden="1" outlineLevel="2" x14ac:dyDescent="0.25">
      <c r="B87" s="1" t="s">
        <v>115</v>
      </c>
      <c r="C87" s="44">
        <v>47507.64</v>
      </c>
      <c r="E87" s="50">
        <v>0.8</v>
      </c>
      <c r="F87" s="50">
        <v>0</v>
      </c>
      <c r="G87" s="64">
        <f t="shared" si="8"/>
        <v>38006.112000000001</v>
      </c>
      <c r="H87" s="64">
        <f t="shared" si="9"/>
        <v>0</v>
      </c>
      <c r="J87" s="91"/>
    </row>
    <row r="88" spans="2:10" hidden="1" outlineLevel="2" x14ac:dyDescent="0.25">
      <c r="B88" s="1" t="s">
        <v>116</v>
      </c>
      <c r="C88" s="44">
        <v>2823</v>
      </c>
      <c r="E88" s="50">
        <v>0.8</v>
      </c>
      <c r="F88" s="50">
        <v>0</v>
      </c>
      <c r="G88" s="64">
        <f t="shared" si="8"/>
        <v>2258.4</v>
      </c>
      <c r="H88" s="64">
        <f t="shared" si="9"/>
        <v>0</v>
      </c>
      <c r="J88" s="91"/>
    </row>
    <row r="89" spans="2:10" hidden="1" outlineLevel="2" x14ac:dyDescent="0.25">
      <c r="B89" s="1" t="s">
        <v>117</v>
      </c>
      <c r="C89" s="44">
        <v>13197.36</v>
      </c>
      <c r="E89" s="50">
        <v>0.8</v>
      </c>
      <c r="F89" s="50">
        <v>0</v>
      </c>
      <c r="G89" s="64">
        <f t="shared" si="8"/>
        <v>10557.888000000001</v>
      </c>
      <c r="H89" s="64">
        <f t="shared" si="9"/>
        <v>0</v>
      </c>
      <c r="J89" s="91"/>
    </row>
    <row r="90" spans="2:10" hidden="1" outlineLevel="2" x14ac:dyDescent="0.25">
      <c r="B90" s="1" t="s">
        <v>120</v>
      </c>
      <c r="C90" s="44">
        <v>16847.900000000001</v>
      </c>
      <c r="E90" s="50">
        <v>0</v>
      </c>
      <c r="F90" s="50">
        <v>0</v>
      </c>
      <c r="G90" s="64">
        <f t="shared" si="8"/>
        <v>0</v>
      </c>
      <c r="H90" s="64">
        <f t="shared" si="9"/>
        <v>0</v>
      </c>
      <c r="J90" s="91"/>
    </row>
    <row r="91" spans="2:10" hidden="1" outlineLevel="2" x14ac:dyDescent="0.25">
      <c r="B91" s="1" t="s">
        <v>122</v>
      </c>
      <c r="C91" s="44">
        <v>22412.86</v>
      </c>
      <c r="E91" s="50">
        <v>0.8</v>
      </c>
      <c r="F91" s="50">
        <v>0</v>
      </c>
      <c r="G91" s="64">
        <f t="shared" si="8"/>
        <v>17930.288</v>
      </c>
      <c r="H91" s="64">
        <f t="shared" si="9"/>
        <v>0</v>
      </c>
      <c r="J91" s="91"/>
    </row>
    <row r="92" spans="2:10" hidden="1" outlineLevel="2" x14ac:dyDescent="0.25">
      <c r="B92" s="1" t="s">
        <v>123</v>
      </c>
      <c r="C92" s="44">
        <v>51035.76</v>
      </c>
      <c r="E92" s="50">
        <v>0.85</v>
      </c>
      <c r="F92" s="50">
        <v>0</v>
      </c>
      <c r="G92" s="64">
        <f t="shared" si="8"/>
        <v>43380.396000000001</v>
      </c>
      <c r="H92" s="64">
        <f t="shared" si="9"/>
        <v>0</v>
      </c>
      <c r="J92" s="91"/>
    </row>
    <row r="93" spans="2:10" hidden="1" outlineLevel="2" x14ac:dyDescent="0.25">
      <c r="B93" s="1" t="s">
        <v>150</v>
      </c>
      <c r="C93" s="44">
        <v>26007.1</v>
      </c>
      <c r="E93" s="50">
        <v>0.85</v>
      </c>
      <c r="F93" s="50">
        <v>0</v>
      </c>
      <c r="G93" s="64">
        <f t="shared" si="8"/>
        <v>22106.035</v>
      </c>
      <c r="H93" s="64">
        <f t="shared" si="9"/>
        <v>0</v>
      </c>
      <c r="J93" s="91"/>
    </row>
    <row r="94" spans="2:10" outlineLevel="1" collapsed="1" x14ac:dyDescent="0.25">
      <c r="B94" s="60" t="s">
        <v>151</v>
      </c>
      <c r="C94" s="61">
        <v>98367.6</v>
      </c>
      <c r="E94" s="62"/>
      <c r="F94" s="62"/>
      <c r="G94" s="63"/>
      <c r="H94" s="63"/>
      <c r="J94" s="91"/>
    </row>
    <row r="95" spans="2:10" hidden="1" outlineLevel="2" x14ac:dyDescent="0.25">
      <c r="B95" s="1" t="s">
        <v>152</v>
      </c>
      <c r="C95" s="44">
        <v>5979.6</v>
      </c>
      <c r="E95" s="50">
        <v>0</v>
      </c>
      <c r="F95" s="50">
        <v>0</v>
      </c>
      <c r="G95" s="64">
        <f t="shared" ref="G95:G108" si="10">+E95*C95</f>
        <v>0</v>
      </c>
      <c r="H95" s="64">
        <f t="shared" ref="H95:H108" si="11">+F95*C95</f>
        <v>0</v>
      </c>
      <c r="J95" s="91"/>
    </row>
    <row r="96" spans="2:10" hidden="1" outlineLevel="2" x14ac:dyDescent="0.25">
      <c r="B96" s="1" t="s">
        <v>153</v>
      </c>
      <c r="C96" s="44">
        <v>10233.469999999999</v>
      </c>
      <c r="E96" s="50">
        <v>0</v>
      </c>
      <c r="F96" s="50">
        <v>0</v>
      </c>
      <c r="G96" s="64">
        <f t="shared" si="10"/>
        <v>0</v>
      </c>
      <c r="H96" s="64">
        <f t="shared" si="11"/>
        <v>0</v>
      </c>
      <c r="J96" s="91"/>
    </row>
    <row r="97" spans="2:10" hidden="1" outlineLevel="2" x14ac:dyDescent="0.25">
      <c r="B97" s="1" t="s">
        <v>154</v>
      </c>
      <c r="C97" s="44">
        <v>1790.52</v>
      </c>
      <c r="E97" s="50">
        <v>0</v>
      </c>
      <c r="F97" s="50">
        <v>0</v>
      </c>
      <c r="G97" s="64">
        <f t="shared" si="10"/>
        <v>0</v>
      </c>
      <c r="H97" s="64">
        <f t="shared" si="11"/>
        <v>0</v>
      </c>
      <c r="J97" s="91"/>
    </row>
    <row r="98" spans="2:10" hidden="1" outlineLevel="2" x14ac:dyDescent="0.25">
      <c r="B98" s="1" t="s">
        <v>155</v>
      </c>
      <c r="C98" s="44">
        <v>605.75</v>
      </c>
      <c r="E98" s="50">
        <v>0</v>
      </c>
      <c r="F98" s="50">
        <v>0</v>
      </c>
      <c r="G98" s="64">
        <f t="shared" si="10"/>
        <v>0</v>
      </c>
      <c r="H98" s="64">
        <f t="shared" si="11"/>
        <v>0</v>
      </c>
      <c r="J98" s="91"/>
    </row>
    <row r="99" spans="2:10" hidden="1" outlineLevel="2" x14ac:dyDescent="0.25">
      <c r="B99" s="1" t="s">
        <v>156</v>
      </c>
      <c r="C99" s="44">
        <v>489.89</v>
      </c>
      <c r="E99" s="50">
        <v>0</v>
      </c>
      <c r="F99" s="50">
        <v>0</v>
      </c>
      <c r="G99" s="64">
        <f t="shared" si="10"/>
        <v>0</v>
      </c>
      <c r="H99" s="64">
        <f t="shared" si="11"/>
        <v>0</v>
      </c>
      <c r="J99" s="91"/>
    </row>
    <row r="100" spans="2:10" hidden="1" outlineLevel="2" x14ac:dyDescent="0.25">
      <c r="B100" s="1" t="s">
        <v>157</v>
      </c>
      <c r="C100" s="44">
        <v>231.43</v>
      </c>
      <c r="E100" s="50">
        <v>0</v>
      </c>
      <c r="F100" s="50">
        <v>0</v>
      </c>
      <c r="G100" s="64">
        <f t="shared" si="10"/>
        <v>0</v>
      </c>
      <c r="H100" s="64">
        <f t="shared" si="11"/>
        <v>0</v>
      </c>
      <c r="J100" s="91"/>
    </row>
    <row r="101" spans="2:10" hidden="1" outlineLevel="2" x14ac:dyDescent="0.25">
      <c r="B101" s="1" t="s">
        <v>158</v>
      </c>
      <c r="C101" s="44">
        <v>2226.65</v>
      </c>
      <c r="E101" s="50">
        <v>0</v>
      </c>
      <c r="F101" s="50">
        <v>0</v>
      </c>
      <c r="G101" s="64">
        <f t="shared" si="10"/>
        <v>0</v>
      </c>
      <c r="H101" s="64">
        <f t="shared" si="11"/>
        <v>0</v>
      </c>
      <c r="J101" s="91"/>
    </row>
    <row r="102" spans="2:10" hidden="1" outlineLevel="2" x14ac:dyDescent="0.25">
      <c r="B102" s="1" t="s">
        <v>159</v>
      </c>
      <c r="C102" s="44">
        <v>5399.22</v>
      </c>
      <c r="E102" s="50">
        <v>0</v>
      </c>
      <c r="F102" s="50">
        <v>0</v>
      </c>
      <c r="G102" s="64">
        <f t="shared" si="10"/>
        <v>0</v>
      </c>
      <c r="H102" s="64">
        <f t="shared" si="11"/>
        <v>0</v>
      </c>
      <c r="J102" s="91"/>
    </row>
    <row r="103" spans="2:10" hidden="1" outlineLevel="2" x14ac:dyDescent="0.25">
      <c r="B103" s="1" t="s">
        <v>160</v>
      </c>
      <c r="C103" s="44">
        <v>14539.28</v>
      </c>
      <c r="E103" s="50">
        <v>0</v>
      </c>
      <c r="F103" s="50">
        <v>0</v>
      </c>
      <c r="G103" s="64">
        <f t="shared" si="10"/>
        <v>0</v>
      </c>
      <c r="H103" s="64">
        <f t="shared" si="11"/>
        <v>0</v>
      </c>
      <c r="J103" s="91"/>
    </row>
    <row r="104" spans="2:10" hidden="1" outlineLevel="2" x14ac:dyDescent="0.25">
      <c r="B104" s="1" t="s">
        <v>139</v>
      </c>
      <c r="C104" s="44">
        <v>3345.03</v>
      </c>
      <c r="E104" s="50">
        <v>0</v>
      </c>
      <c r="F104" s="50">
        <v>0</v>
      </c>
      <c r="G104" s="64">
        <f t="shared" si="10"/>
        <v>0</v>
      </c>
      <c r="H104" s="64">
        <f t="shared" si="11"/>
        <v>0</v>
      </c>
      <c r="J104" s="91"/>
    </row>
    <row r="105" spans="2:10" hidden="1" outlineLevel="2" x14ac:dyDescent="0.25">
      <c r="B105" s="1" t="s">
        <v>161</v>
      </c>
      <c r="C105" s="44">
        <v>26392.14</v>
      </c>
      <c r="E105" s="50">
        <v>0</v>
      </c>
      <c r="F105" s="50">
        <v>0</v>
      </c>
      <c r="G105" s="64">
        <f t="shared" si="10"/>
        <v>0</v>
      </c>
      <c r="H105" s="64">
        <f t="shared" si="11"/>
        <v>0</v>
      </c>
      <c r="J105" s="91"/>
    </row>
    <row r="106" spans="2:10" hidden="1" outlineLevel="2" x14ac:dyDescent="0.25">
      <c r="B106" s="1" t="s">
        <v>105</v>
      </c>
      <c r="C106" s="44">
        <v>2094.73</v>
      </c>
      <c r="E106" s="50">
        <v>0</v>
      </c>
      <c r="F106" s="50">
        <v>0</v>
      </c>
      <c r="G106" s="64">
        <f t="shared" si="10"/>
        <v>0</v>
      </c>
      <c r="H106" s="64">
        <f t="shared" si="11"/>
        <v>0</v>
      </c>
      <c r="J106" s="91"/>
    </row>
    <row r="107" spans="2:10" hidden="1" outlineLevel="2" x14ac:dyDescent="0.25">
      <c r="B107" s="1" t="s">
        <v>140</v>
      </c>
      <c r="C107" s="44">
        <v>22883.13</v>
      </c>
      <c r="E107" s="50">
        <v>0</v>
      </c>
      <c r="F107" s="50">
        <v>0</v>
      </c>
      <c r="G107" s="64">
        <f t="shared" si="10"/>
        <v>0</v>
      </c>
      <c r="H107" s="64">
        <f t="shared" si="11"/>
        <v>0</v>
      </c>
      <c r="J107" s="91"/>
    </row>
    <row r="108" spans="2:10" hidden="1" outlineLevel="2" x14ac:dyDescent="0.25">
      <c r="B108" s="1" t="s">
        <v>162</v>
      </c>
      <c r="C108" s="44">
        <v>2156.7600000000002</v>
      </c>
      <c r="E108" s="50">
        <v>0</v>
      </c>
      <c r="F108" s="50">
        <v>0</v>
      </c>
      <c r="G108" s="64">
        <f t="shared" si="10"/>
        <v>0</v>
      </c>
      <c r="H108" s="64">
        <f t="shared" si="11"/>
        <v>0</v>
      </c>
      <c r="J108" s="91"/>
    </row>
    <row r="109" spans="2:10" outlineLevel="1" collapsed="1" x14ac:dyDescent="0.25">
      <c r="B109" s="60" t="s">
        <v>163</v>
      </c>
      <c r="C109" s="61">
        <v>49587.97</v>
      </c>
      <c r="E109" s="62"/>
      <c r="F109" s="62"/>
      <c r="G109" s="63"/>
      <c r="H109" s="63"/>
      <c r="J109" s="91"/>
    </row>
    <row r="110" spans="2:10" hidden="1" outlineLevel="2" x14ac:dyDescent="0.25">
      <c r="B110" s="1" t="s">
        <v>112</v>
      </c>
      <c r="C110" s="44">
        <v>2222.52</v>
      </c>
      <c r="E110" s="50">
        <v>0</v>
      </c>
      <c r="F110" s="50">
        <v>0</v>
      </c>
      <c r="G110" s="64">
        <f t="shared" ref="G110:G116" si="12">+E110*C110</f>
        <v>0</v>
      </c>
      <c r="H110" s="64">
        <f t="shared" ref="H110:H116" si="13">+F110*C110</f>
        <v>0</v>
      </c>
      <c r="J110" s="91"/>
    </row>
    <row r="111" spans="2:10" hidden="1" outlineLevel="2" x14ac:dyDescent="0.25">
      <c r="B111" s="1" t="s">
        <v>164</v>
      </c>
      <c r="C111" s="44">
        <v>9021.93</v>
      </c>
      <c r="E111" s="50">
        <v>0</v>
      </c>
      <c r="F111" s="50">
        <v>0</v>
      </c>
      <c r="G111" s="64">
        <f t="shared" si="12"/>
        <v>0</v>
      </c>
      <c r="H111" s="64">
        <f t="shared" si="13"/>
        <v>0</v>
      </c>
      <c r="J111" s="91"/>
    </row>
    <row r="112" spans="2:10" hidden="1" outlineLevel="2" x14ac:dyDescent="0.25">
      <c r="B112" s="1" t="s">
        <v>165</v>
      </c>
      <c r="C112" s="44">
        <v>8210.4</v>
      </c>
      <c r="E112" s="50">
        <v>0</v>
      </c>
      <c r="F112" s="50">
        <v>0</v>
      </c>
      <c r="G112" s="64">
        <f t="shared" si="12"/>
        <v>0</v>
      </c>
      <c r="H112" s="64">
        <f t="shared" si="13"/>
        <v>0</v>
      </c>
      <c r="J112" s="91"/>
    </row>
    <row r="113" spans="2:10" hidden="1" outlineLevel="2" x14ac:dyDescent="0.25">
      <c r="B113" s="1" t="s">
        <v>166</v>
      </c>
      <c r="C113" s="44">
        <v>5086.68</v>
      </c>
      <c r="E113" s="50">
        <v>0</v>
      </c>
      <c r="F113" s="50">
        <v>0</v>
      </c>
      <c r="G113" s="64">
        <f t="shared" si="12"/>
        <v>0</v>
      </c>
      <c r="H113" s="64">
        <f t="shared" si="13"/>
        <v>0</v>
      </c>
      <c r="J113" s="91"/>
    </row>
    <row r="114" spans="2:10" hidden="1" outlineLevel="2" x14ac:dyDescent="0.25">
      <c r="B114" s="1" t="s">
        <v>167</v>
      </c>
      <c r="C114" s="44">
        <v>4289.05</v>
      </c>
      <c r="E114" s="50">
        <v>0</v>
      </c>
      <c r="F114" s="50">
        <v>0</v>
      </c>
      <c r="G114" s="64">
        <f t="shared" si="12"/>
        <v>0</v>
      </c>
      <c r="H114" s="64">
        <f t="shared" si="13"/>
        <v>0</v>
      </c>
      <c r="J114" s="91"/>
    </row>
    <row r="115" spans="2:10" hidden="1" outlineLevel="2" x14ac:dyDescent="0.25">
      <c r="B115" s="1" t="s">
        <v>168</v>
      </c>
      <c r="C115" s="44">
        <v>18662.66</v>
      </c>
      <c r="E115" s="50">
        <v>0</v>
      </c>
      <c r="F115" s="50">
        <v>0</v>
      </c>
      <c r="G115" s="64">
        <f t="shared" si="12"/>
        <v>0</v>
      </c>
      <c r="H115" s="64">
        <f t="shared" si="13"/>
        <v>0</v>
      </c>
      <c r="J115" s="91"/>
    </row>
    <row r="116" spans="2:10" hidden="1" outlineLevel="2" x14ac:dyDescent="0.25">
      <c r="B116" s="1" t="s">
        <v>105</v>
      </c>
      <c r="C116" s="44">
        <v>2094.73</v>
      </c>
      <c r="E116" s="50">
        <v>0</v>
      </c>
      <c r="F116" s="50">
        <v>0</v>
      </c>
      <c r="G116" s="64">
        <f t="shared" si="12"/>
        <v>0</v>
      </c>
      <c r="H116" s="64">
        <f t="shared" si="13"/>
        <v>0</v>
      </c>
      <c r="J116" s="91"/>
    </row>
    <row r="117" spans="2:10" outlineLevel="1" collapsed="1" x14ac:dyDescent="0.25">
      <c r="B117" s="60" t="s">
        <v>169</v>
      </c>
      <c r="C117" s="61">
        <v>4217</v>
      </c>
      <c r="E117" s="62"/>
      <c r="F117" s="62"/>
      <c r="G117" s="63"/>
      <c r="H117" s="63"/>
      <c r="J117" s="91"/>
    </row>
    <row r="118" spans="2:10" hidden="1" outlineLevel="2" x14ac:dyDescent="0.25">
      <c r="B118" s="1" t="s">
        <v>170</v>
      </c>
      <c r="C118" s="44">
        <v>1676</v>
      </c>
      <c r="E118" s="50">
        <v>0</v>
      </c>
      <c r="F118" s="50">
        <v>0</v>
      </c>
      <c r="G118" s="64">
        <f>+E118*C118</f>
        <v>0</v>
      </c>
      <c r="H118" s="64">
        <f>+F118*C118</f>
        <v>0</v>
      </c>
      <c r="J118" s="91"/>
    </row>
    <row r="119" spans="2:10" hidden="1" outlineLevel="2" x14ac:dyDescent="0.25">
      <c r="B119" s="1" t="s">
        <v>171</v>
      </c>
      <c r="C119" s="44">
        <v>2541</v>
      </c>
      <c r="E119" s="50">
        <v>0</v>
      </c>
      <c r="F119" s="50">
        <v>0</v>
      </c>
      <c r="G119" s="64">
        <f>+E119*C119</f>
        <v>0</v>
      </c>
      <c r="H119" s="64">
        <f>+F119*C119</f>
        <v>0</v>
      </c>
      <c r="J119" s="91"/>
    </row>
    <row r="120" spans="2:10" outlineLevel="1" collapsed="1" x14ac:dyDescent="0.25">
      <c r="B120" s="60" t="s">
        <v>172</v>
      </c>
      <c r="C120" s="61">
        <v>22126.14</v>
      </c>
      <c r="E120" s="62"/>
      <c r="F120" s="62"/>
      <c r="G120" s="63"/>
      <c r="H120" s="63"/>
      <c r="J120" s="91"/>
    </row>
    <row r="121" spans="2:10" hidden="1" outlineLevel="2" x14ac:dyDescent="0.25">
      <c r="B121" s="1" t="s">
        <v>173</v>
      </c>
      <c r="C121" s="44">
        <v>4130.46</v>
      </c>
      <c r="E121" s="50">
        <v>0</v>
      </c>
      <c r="F121" s="50">
        <v>0</v>
      </c>
      <c r="G121" s="64">
        <f>+E121*C121</f>
        <v>0</v>
      </c>
      <c r="H121" s="64">
        <f>+F121*C121</f>
        <v>0</v>
      </c>
      <c r="J121" s="91"/>
    </row>
    <row r="122" spans="2:10" hidden="1" outlineLevel="2" x14ac:dyDescent="0.25">
      <c r="B122" s="1" t="s">
        <v>174</v>
      </c>
      <c r="C122" s="44">
        <v>17995.68</v>
      </c>
      <c r="E122" s="50">
        <v>0</v>
      </c>
      <c r="F122" s="50">
        <v>0</v>
      </c>
      <c r="G122" s="64">
        <f>+E122*C122</f>
        <v>0</v>
      </c>
      <c r="H122" s="64">
        <f>+F122*C122</f>
        <v>0</v>
      </c>
      <c r="J122" s="91"/>
    </row>
    <row r="123" spans="2:10" outlineLevel="1" collapsed="1" x14ac:dyDescent="0.25">
      <c r="B123" s="60" t="s">
        <v>175</v>
      </c>
      <c r="C123" s="61">
        <v>103730</v>
      </c>
      <c r="E123" s="62"/>
      <c r="F123" s="62"/>
      <c r="G123" s="63"/>
      <c r="H123" s="63"/>
      <c r="J123" s="91"/>
    </row>
    <row r="124" spans="2:10" hidden="1" outlineLevel="2" x14ac:dyDescent="0.25">
      <c r="B124" s="1" t="s">
        <v>176</v>
      </c>
      <c r="C124" s="44">
        <v>2170.59</v>
      </c>
      <c r="E124" s="50">
        <v>0</v>
      </c>
      <c r="F124" s="50">
        <v>0</v>
      </c>
      <c r="G124" s="64">
        <f t="shared" ref="G124:G141" si="14">+E124*C124</f>
        <v>0</v>
      </c>
      <c r="H124" s="64">
        <f t="shared" ref="H124:H141" si="15">+F124*C124</f>
        <v>0</v>
      </c>
      <c r="J124" s="91"/>
    </row>
    <row r="125" spans="2:10" hidden="1" outlineLevel="2" x14ac:dyDescent="0.25">
      <c r="B125" s="1" t="s">
        <v>177</v>
      </c>
      <c r="C125" s="44">
        <v>742.82</v>
      </c>
      <c r="E125" s="50">
        <v>0</v>
      </c>
      <c r="F125" s="50">
        <v>0</v>
      </c>
      <c r="G125" s="64">
        <f t="shared" si="14"/>
        <v>0</v>
      </c>
      <c r="H125" s="64">
        <f t="shared" si="15"/>
        <v>0</v>
      </c>
      <c r="J125" s="91"/>
    </row>
    <row r="126" spans="2:10" hidden="1" outlineLevel="2" x14ac:dyDescent="0.25">
      <c r="B126" s="1" t="s">
        <v>178</v>
      </c>
      <c r="C126" s="44">
        <v>73.760000000000005</v>
      </c>
      <c r="E126" s="50">
        <v>0</v>
      </c>
      <c r="F126" s="50">
        <v>0</v>
      </c>
      <c r="G126" s="64">
        <f t="shared" si="14"/>
        <v>0</v>
      </c>
      <c r="H126" s="64">
        <f t="shared" si="15"/>
        <v>0</v>
      </c>
      <c r="J126" s="91"/>
    </row>
    <row r="127" spans="2:10" hidden="1" outlineLevel="2" x14ac:dyDescent="0.25">
      <c r="B127" s="1" t="s">
        <v>179</v>
      </c>
      <c r="C127" s="44">
        <v>431.46</v>
      </c>
      <c r="E127" s="50">
        <v>0</v>
      </c>
      <c r="F127" s="50">
        <v>0</v>
      </c>
      <c r="G127" s="64">
        <f t="shared" si="14"/>
        <v>0</v>
      </c>
      <c r="H127" s="64">
        <f t="shared" si="15"/>
        <v>0</v>
      </c>
      <c r="J127" s="91"/>
    </row>
    <row r="128" spans="2:10" hidden="1" outlineLevel="2" x14ac:dyDescent="0.25">
      <c r="B128" s="1" t="s">
        <v>180</v>
      </c>
      <c r="C128" s="44">
        <v>2375.46</v>
      </c>
      <c r="E128" s="50">
        <v>0</v>
      </c>
      <c r="F128" s="50">
        <v>0</v>
      </c>
      <c r="G128" s="64">
        <f t="shared" si="14"/>
        <v>0</v>
      </c>
      <c r="H128" s="64">
        <f t="shared" si="15"/>
        <v>0</v>
      </c>
      <c r="J128" s="91"/>
    </row>
    <row r="129" spans="2:10" hidden="1" outlineLevel="2" x14ac:dyDescent="0.25">
      <c r="B129" s="1" t="s">
        <v>95</v>
      </c>
      <c r="C129" s="44">
        <v>444.83</v>
      </c>
      <c r="E129" s="50">
        <v>0</v>
      </c>
      <c r="F129" s="50">
        <v>0</v>
      </c>
      <c r="G129" s="64">
        <f t="shared" si="14"/>
        <v>0</v>
      </c>
      <c r="H129" s="64">
        <f t="shared" si="15"/>
        <v>0</v>
      </c>
      <c r="J129" s="91"/>
    </row>
    <row r="130" spans="2:10" hidden="1" outlineLevel="2" x14ac:dyDescent="0.25">
      <c r="B130" s="1" t="s">
        <v>181</v>
      </c>
      <c r="C130" s="44">
        <v>3122.01</v>
      </c>
      <c r="E130" s="50">
        <v>0</v>
      </c>
      <c r="F130" s="50">
        <v>0</v>
      </c>
      <c r="G130" s="64">
        <f t="shared" si="14"/>
        <v>0</v>
      </c>
      <c r="H130" s="64">
        <f t="shared" si="15"/>
        <v>0</v>
      </c>
      <c r="J130" s="91"/>
    </row>
    <row r="131" spans="2:10" hidden="1" outlineLevel="2" x14ac:dyDescent="0.25">
      <c r="B131" s="1" t="s">
        <v>182</v>
      </c>
      <c r="C131" s="44">
        <v>210.33</v>
      </c>
      <c r="E131" s="50">
        <v>0</v>
      </c>
      <c r="F131" s="50">
        <v>0</v>
      </c>
      <c r="G131" s="64">
        <f t="shared" si="14"/>
        <v>0</v>
      </c>
      <c r="H131" s="64">
        <f t="shared" si="15"/>
        <v>0</v>
      </c>
      <c r="J131" s="91"/>
    </row>
    <row r="132" spans="2:10" hidden="1" outlineLevel="2" x14ac:dyDescent="0.25">
      <c r="B132" s="1" t="s">
        <v>98</v>
      </c>
      <c r="C132" s="44">
        <v>1</v>
      </c>
      <c r="E132" s="50">
        <v>0</v>
      </c>
      <c r="F132" s="50">
        <v>0</v>
      </c>
      <c r="G132" s="64">
        <f t="shared" si="14"/>
        <v>0</v>
      </c>
      <c r="H132" s="64">
        <f t="shared" si="15"/>
        <v>0</v>
      </c>
      <c r="J132" s="91"/>
    </row>
    <row r="133" spans="2:10" hidden="1" outlineLevel="2" x14ac:dyDescent="0.25">
      <c r="B133" s="1" t="s">
        <v>183</v>
      </c>
      <c r="C133" s="44">
        <v>5038.08</v>
      </c>
      <c r="E133" s="50">
        <v>0</v>
      </c>
      <c r="F133" s="50">
        <v>0</v>
      </c>
      <c r="G133" s="64">
        <f t="shared" si="14"/>
        <v>0</v>
      </c>
      <c r="H133" s="64">
        <f t="shared" si="15"/>
        <v>0</v>
      </c>
      <c r="J133" s="91"/>
    </row>
    <row r="134" spans="2:10" hidden="1" outlineLevel="2" x14ac:dyDescent="0.25">
      <c r="B134" s="1" t="s">
        <v>184</v>
      </c>
      <c r="C134" s="44">
        <v>17945.02</v>
      </c>
      <c r="E134" s="50">
        <v>0</v>
      </c>
      <c r="F134" s="50">
        <v>0</v>
      </c>
      <c r="G134" s="64">
        <f t="shared" si="14"/>
        <v>0</v>
      </c>
      <c r="H134" s="64">
        <f t="shared" si="15"/>
        <v>0</v>
      </c>
      <c r="J134" s="91"/>
    </row>
    <row r="135" spans="2:10" hidden="1" outlineLevel="2" x14ac:dyDescent="0.25">
      <c r="B135" s="1" t="s">
        <v>105</v>
      </c>
      <c r="C135" s="44">
        <v>1029.23</v>
      </c>
      <c r="E135" s="50">
        <v>0</v>
      </c>
      <c r="F135" s="50">
        <v>0</v>
      </c>
      <c r="G135" s="64">
        <f t="shared" si="14"/>
        <v>0</v>
      </c>
      <c r="H135" s="64">
        <f t="shared" si="15"/>
        <v>0</v>
      </c>
      <c r="J135" s="91"/>
    </row>
    <row r="136" spans="2:10" hidden="1" outlineLevel="2" x14ac:dyDescent="0.25">
      <c r="B136" s="1" t="s">
        <v>185</v>
      </c>
      <c r="C136" s="44">
        <v>33719.4</v>
      </c>
      <c r="E136" s="50">
        <v>0</v>
      </c>
      <c r="F136" s="50">
        <v>0</v>
      </c>
      <c r="G136" s="64">
        <f t="shared" si="14"/>
        <v>0</v>
      </c>
      <c r="H136" s="64">
        <f t="shared" si="15"/>
        <v>0</v>
      </c>
      <c r="J136" s="91"/>
    </row>
    <row r="137" spans="2:10" hidden="1" outlineLevel="2" x14ac:dyDescent="0.25">
      <c r="B137" s="1" t="s">
        <v>186</v>
      </c>
      <c r="C137" s="44">
        <v>6661.78</v>
      </c>
      <c r="E137" s="50">
        <v>0</v>
      </c>
      <c r="F137" s="50">
        <v>0</v>
      </c>
      <c r="G137" s="64">
        <f t="shared" si="14"/>
        <v>0</v>
      </c>
      <c r="H137" s="64">
        <f t="shared" si="15"/>
        <v>0</v>
      </c>
      <c r="J137" s="91"/>
    </row>
    <row r="138" spans="2:10" hidden="1" outlineLevel="2" x14ac:dyDescent="0.25">
      <c r="B138" s="1" t="s">
        <v>105</v>
      </c>
      <c r="C138" s="44">
        <v>341.35</v>
      </c>
      <c r="E138" s="50">
        <v>0</v>
      </c>
      <c r="F138" s="50">
        <v>0</v>
      </c>
      <c r="G138" s="64">
        <f t="shared" si="14"/>
        <v>0</v>
      </c>
      <c r="H138" s="64">
        <f t="shared" si="15"/>
        <v>0</v>
      </c>
      <c r="J138" s="91"/>
    </row>
    <row r="139" spans="2:10" hidden="1" outlineLevel="2" x14ac:dyDescent="0.25">
      <c r="B139" s="1" t="s">
        <v>187</v>
      </c>
      <c r="C139" s="44">
        <v>732.54</v>
      </c>
      <c r="E139" s="50">
        <v>0</v>
      </c>
      <c r="F139" s="50">
        <v>0</v>
      </c>
      <c r="G139" s="64">
        <f t="shared" si="14"/>
        <v>0</v>
      </c>
      <c r="H139" s="64">
        <f t="shared" si="15"/>
        <v>0</v>
      </c>
      <c r="J139" s="91"/>
    </row>
    <row r="140" spans="2:10" hidden="1" outlineLevel="2" x14ac:dyDescent="0.25">
      <c r="B140" s="1" t="s">
        <v>188</v>
      </c>
      <c r="C140" s="44">
        <v>0</v>
      </c>
      <c r="E140" s="50">
        <v>0</v>
      </c>
      <c r="F140" s="50">
        <v>0</v>
      </c>
      <c r="G140" s="64">
        <f t="shared" si="14"/>
        <v>0</v>
      </c>
      <c r="H140" s="64">
        <f t="shared" si="15"/>
        <v>0</v>
      </c>
      <c r="J140" s="91"/>
    </row>
    <row r="141" spans="2:10" hidden="1" outlineLevel="2" x14ac:dyDescent="0.25">
      <c r="B141" s="1" t="s">
        <v>189</v>
      </c>
      <c r="C141" s="44">
        <v>28690.34</v>
      </c>
      <c r="E141" s="50">
        <v>0</v>
      </c>
      <c r="F141" s="50">
        <v>0</v>
      </c>
      <c r="G141" s="64">
        <f t="shared" si="14"/>
        <v>0</v>
      </c>
      <c r="H141" s="64">
        <f t="shared" si="15"/>
        <v>0</v>
      </c>
      <c r="J141" s="91"/>
    </row>
    <row r="142" spans="2:10" outlineLevel="1" collapsed="1" x14ac:dyDescent="0.25">
      <c r="B142" s="60" t="s">
        <v>190</v>
      </c>
      <c r="C142" s="61">
        <v>132417.71</v>
      </c>
      <c r="E142" s="62"/>
      <c r="F142" s="62"/>
      <c r="G142" s="63"/>
      <c r="H142" s="63"/>
      <c r="J142" s="91"/>
    </row>
    <row r="143" spans="2:10" hidden="1" outlineLevel="2" x14ac:dyDescent="0.25">
      <c r="B143" s="1" t="s">
        <v>191</v>
      </c>
      <c r="C143" s="44">
        <v>70780.960000000006</v>
      </c>
      <c r="E143" s="50">
        <v>0</v>
      </c>
      <c r="F143" s="50">
        <v>0</v>
      </c>
      <c r="G143" s="64">
        <f>+E143*C143</f>
        <v>0</v>
      </c>
      <c r="H143" s="64">
        <f>+F143*C143</f>
        <v>0</v>
      </c>
      <c r="J143" s="91"/>
    </row>
    <row r="144" spans="2:10" hidden="1" outlineLevel="2" x14ac:dyDescent="0.25">
      <c r="B144" s="1" t="s">
        <v>192</v>
      </c>
      <c r="C144" s="44">
        <v>40492.239999999998</v>
      </c>
      <c r="E144" s="50">
        <v>0</v>
      </c>
      <c r="F144" s="50">
        <v>0</v>
      </c>
      <c r="G144" s="64">
        <f>+E144*C144</f>
        <v>0</v>
      </c>
      <c r="H144" s="64">
        <f>+F144*C144</f>
        <v>0</v>
      </c>
      <c r="J144" s="91"/>
    </row>
    <row r="145" spans="2:10" hidden="1" outlineLevel="2" x14ac:dyDescent="0.25">
      <c r="B145" s="1" t="s">
        <v>193</v>
      </c>
      <c r="C145" s="44">
        <v>19337.86</v>
      </c>
      <c r="E145" s="50">
        <v>0</v>
      </c>
      <c r="F145" s="50">
        <v>0</v>
      </c>
      <c r="G145" s="64">
        <f>+E145*C145</f>
        <v>0</v>
      </c>
      <c r="H145" s="64">
        <f>+F145*C145</f>
        <v>0</v>
      </c>
      <c r="J145" s="91"/>
    </row>
    <row r="146" spans="2:10" hidden="1" outlineLevel="2" x14ac:dyDescent="0.25">
      <c r="B146" s="1" t="s">
        <v>194</v>
      </c>
      <c r="C146" s="44">
        <v>1806.65</v>
      </c>
      <c r="E146" s="50">
        <v>0</v>
      </c>
      <c r="F146" s="50">
        <v>0</v>
      </c>
      <c r="G146" s="64">
        <f>+E146*C146</f>
        <v>0</v>
      </c>
      <c r="H146" s="64">
        <f>+F146*C146</f>
        <v>0</v>
      </c>
      <c r="J146" s="91"/>
    </row>
    <row r="147" spans="2:10" outlineLevel="1" collapsed="1" x14ac:dyDescent="0.25">
      <c r="B147" s="60" t="s">
        <v>195</v>
      </c>
      <c r="C147" s="61">
        <v>186135.04000000001</v>
      </c>
      <c r="E147" s="62"/>
      <c r="F147" s="62"/>
      <c r="G147" s="63"/>
      <c r="H147" s="63"/>
      <c r="J147" s="91"/>
    </row>
    <row r="148" spans="2:10" hidden="1" outlineLevel="2" x14ac:dyDescent="0.25">
      <c r="B148" s="1" t="s">
        <v>196</v>
      </c>
      <c r="C148" s="44">
        <v>89347.38</v>
      </c>
      <c r="E148" s="50">
        <v>0</v>
      </c>
      <c r="F148" s="50">
        <v>0</v>
      </c>
      <c r="G148" s="64">
        <f t="shared" ref="G148:G153" si="16">+E148*C148</f>
        <v>0</v>
      </c>
      <c r="H148" s="64">
        <f t="shared" ref="H148:H153" si="17">+F148*C148</f>
        <v>0</v>
      </c>
      <c r="J148" s="91"/>
    </row>
    <row r="149" spans="2:10" hidden="1" outlineLevel="2" x14ac:dyDescent="0.25">
      <c r="B149" s="1" t="s">
        <v>197</v>
      </c>
      <c r="C149" s="44">
        <v>33243.03</v>
      </c>
      <c r="E149" s="50">
        <v>0</v>
      </c>
      <c r="F149" s="50">
        <v>0</v>
      </c>
      <c r="G149" s="64">
        <f t="shared" si="16"/>
        <v>0</v>
      </c>
      <c r="H149" s="64">
        <f t="shared" si="17"/>
        <v>0</v>
      </c>
      <c r="J149" s="91"/>
    </row>
    <row r="150" spans="2:10" hidden="1" outlineLevel="2" x14ac:dyDescent="0.25">
      <c r="B150" s="1" t="s">
        <v>198</v>
      </c>
      <c r="C150" s="44">
        <v>4696.1499999999996</v>
      </c>
      <c r="E150" s="50">
        <v>0</v>
      </c>
      <c r="F150" s="50">
        <v>0</v>
      </c>
      <c r="G150" s="64">
        <f t="shared" si="16"/>
        <v>0</v>
      </c>
      <c r="H150" s="64">
        <f t="shared" si="17"/>
        <v>0</v>
      </c>
      <c r="J150" s="91"/>
    </row>
    <row r="151" spans="2:10" hidden="1" outlineLevel="2" x14ac:dyDescent="0.25">
      <c r="B151" s="1" t="s">
        <v>199</v>
      </c>
      <c r="C151" s="44">
        <v>36494.33</v>
      </c>
      <c r="E151" s="50">
        <v>0</v>
      </c>
      <c r="F151" s="50">
        <v>0</v>
      </c>
      <c r="G151" s="64">
        <f t="shared" si="16"/>
        <v>0</v>
      </c>
      <c r="H151" s="64">
        <f t="shared" si="17"/>
        <v>0</v>
      </c>
      <c r="J151" s="91"/>
    </row>
    <row r="152" spans="2:10" hidden="1" outlineLevel="2" x14ac:dyDescent="0.25">
      <c r="B152" s="1" t="s">
        <v>200</v>
      </c>
      <c r="C152" s="44">
        <v>12771.02</v>
      </c>
      <c r="E152" s="50">
        <v>0</v>
      </c>
      <c r="F152" s="50">
        <v>0</v>
      </c>
      <c r="G152" s="64">
        <f t="shared" si="16"/>
        <v>0</v>
      </c>
      <c r="H152" s="64">
        <f t="shared" si="17"/>
        <v>0</v>
      </c>
      <c r="J152" s="91"/>
    </row>
    <row r="153" spans="2:10" hidden="1" outlineLevel="2" x14ac:dyDescent="0.25">
      <c r="B153" s="1" t="s">
        <v>201</v>
      </c>
      <c r="C153" s="44">
        <v>9583.1299999999992</v>
      </c>
      <c r="E153" s="50">
        <v>0</v>
      </c>
      <c r="F153" s="50">
        <v>0</v>
      </c>
      <c r="G153" s="64">
        <f t="shared" si="16"/>
        <v>0</v>
      </c>
      <c r="H153" s="64">
        <f t="shared" si="17"/>
        <v>0</v>
      </c>
      <c r="J153" s="91"/>
    </row>
    <row r="154" spans="2:10" outlineLevel="1" collapsed="1" x14ac:dyDescent="0.25">
      <c r="B154" s="60" t="s">
        <v>202</v>
      </c>
      <c r="C154" s="61">
        <v>83682.61</v>
      </c>
      <c r="E154" s="62"/>
      <c r="F154" s="62"/>
      <c r="G154" s="63"/>
      <c r="H154" s="63"/>
      <c r="J154" s="91"/>
    </row>
    <row r="155" spans="2:10" hidden="1" outlineLevel="2" x14ac:dyDescent="0.25">
      <c r="B155" s="1" t="s">
        <v>203</v>
      </c>
      <c r="C155" s="44">
        <v>36988.629999999997</v>
      </c>
      <c r="E155" s="50">
        <v>0</v>
      </c>
      <c r="F155" s="50">
        <v>0</v>
      </c>
      <c r="G155" s="64">
        <f t="shared" ref="G155:G168" si="18">+E155*C155</f>
        <v>0</v>
      </c>
      <c r="H155" s="64">
        <f t="shared" ref="H155:H168" si="19">+F155*C155</f>
        <v>0</v>
      </c>
      <c r="J155" s="91"/>
    </row>
    <row r="156" spans="2:10" hidden="1" outlineLevel="2" x14ac:dyDescent="0.25">
      <c r="B156" s="1" t="s">
        <v>204</v>
      </c>
      <c r="C156" s="44">
        <v>28103.47</v>
      </c>
      <c r="E156" s="50">
        <v>0</v>
      </c>
      <c r="F156" s="50">
        <v>0</v>
      </c>
      <c r="G156" s="64">
        <f t="shared" si="18"/>
        <v>0</v>
      </c>
      <c r="H156" s="64">
        <f t="shared" si="19"/>
        <v>0</v>
      </c>
      <c r="J156" s="91"/>
    </row>
    <row r="157" spans="2:10" hidden="1" outlineLevel="2" x14ac:dyDescent="0.25">
      <c r="B157" s="1" t="s">
        <v>205</v>
      </c>
      <c r="C157" s="44">
        <v>8885.16</v>
      </c>
      <c r="E157" s="50">
        <v>0</v>
      </c>
      <c r="F157" s="50">
        <v>0</v>
      </c>
      <c r="G157" s="64">
        <f t="shared" si="18"/>
        <v>0</v>
      </c>
      <c r="H157" s="64">
        <f t="shared" si="19"/>
        <v>0</v>
      </c>
      <c r="J157" s="91"/>
    </row>
    <row r="158" spans="2:10" hidden="1" outlineLevel="2" x14ac:dyDescent="0.25">
      <c r="B158" s="1" t="s">
        <v>206</v>
      </c>
      <c r="C158" s="44">
        <v>35371.5</v>
      </c>
      <c r="E158" s="50">
        <v>0</v>
      </c>
      <c r="F158" s="50">
        <v>0</v>
      </c>
      <c r="G158" s="64">
        <f t="shared" si="18"/>
        <v>0</v>
      </c>
      <c r="H158" s="64">
        <f t="shared" si="19"/>
        <v>0</v>
      </c>
      <c r="J158" s="91"/>
    </row>
    <row r="159" spans="2:10" hidden="1" outlineLevel="2" x14ac:dyDescent="0.25">
      <c r="B159" s="1" t="s">
        <v>204</v>
      </c>
      <c r="C159" s="44">
        <v>7843.75</v>
      </c>
      <c r="E159" s="50">
        <v>0</v>
      </c>
      <c r="F159" s="50">
        <v>0</v>
      </c>
      <c r="G159" s="64">
        <f t="shared" si="18"/>
        <v>0</v>
      </c>
      <c r="H159" s="64">
        <f t="shared" si="19"/>
        <v>0</v>
      </c>
      <c r="J159" s="91"/>
    </row>
    <row r="160" spans="2:10" hidden="1" outlineLevel="2" x14ac:dyDescent="0.25">
      <c r="B160" s="1" t="s">
        <v>205</v>
      </c>
      <c r="C160" s="44">
        <v>5000.1499999999996</v>
      </c>
      <c r="E160" s="50">
        <v>0</v>
      </c>
      <c r="F160" s="50">
        <v>0</v>
      </c>
      <c r="G160" s="64">
        <f t="shared" si="18"/>
        <v>0</v>
      </c>
      <c r="H160" s="64">
        <f t="shared" si="19"/>
        <v>0</v>
      </c>
      <c r="J160" s="91"/>
    </row>
    <row r="161" spans="2:10" hidden="1" outlineLevel="2" x14ac:dyDescent="0.25">
      <c r="B161" s="1" t="s">
        <v>207</v>
      </c>
      <c r="C161" s="44">
        <v>2806.17</v>
      </c>
      <c r="E161" s="50">
        <v>0</v>
      </c>
      <c r="F161" s="50">
        <v>0</v>
      </c>
      <c r="G161" s="64">
        <f t="shared" si="18"/>
        <v>0</v>
      </c>
      <c r="H161" s="64">
        <f t="shared" si="19"/>
        <v>0</v>
      </c>
      <c r="J161" s="91"/>
    </row>
    <row r="162" spans="2:10" hidden="1" outlineLevel="2" x14ac:dyDescent="0.25">
      <c r="B162" s="1" t="s">
        <v>208</v>
      </c>
      <c r="C162" s="44">
        <v>871.42</v>
      </c>
      <c r="E162" s="50">
        <v>0</v>
      </c>
      <c r="F162" s="50">
        <v>0</v>
      </c>
      <c r="G162" s="64">
        <f t="shared" si="18"/>
        <v>0</v>
      </c>
      <c r="H162" s="64">
        <f t="shared" si="19"/>
        <v>0</v>
      </c>
      <c r="J162" s="91"/>
    </row>
    <row r="163" spans="2:10" hidden="1" outlineLevel="2" x14ac:dyDescent="0.25">
      <c r="B163" s="1" t="s">
        <v>209</v>
      </c>
      <c r="C163" s="44">
        <v>13382.48</v>
      </c>
      <c r="E163" s="50">
        <v>0</v>
      </c>
      <c r="F163" s="50">
        <v>0</v>
      </c>
      <c r="G163" s="64">
        <f t="shared" si="18"/>
        <v>0</v>
      </c>
      <c r="H163" s="64">
        <f t="shared" si="19"/>
        <v>0</v>
      </c>
      <c r="J163" s="91"/>
    </row>
    <row r="164" spans="2:10" hidden="1" outlineLevel="2" x14ac:dyDescent="0.25">
      <c r="B164" s="1" t="s">
        <v>210</v>
      </c>
      <c r="C164" s="44">
        <v>2419.6999999999998</v>
      </c>
      <c r="E164" s="50">
        <v>0</v>
      </c>
      <c r="F164" s="50">
        <v>0</v>
      </c>
      <c r="G164" s="64">
        <f t="shared" si="18"/>
        <v>0</v>
      </c>
      <c r="H164" s="64">
        <f t="shared" si="19"/>
        <v>0</v>
      </c>
      <c r="J164" s="91"/>
    </row>
    <row r="165" spans="2:10" hidden="1" outlineLevel="2" x14ac:dyDescent="0.25">
      <c r="B165" s="1" t="s">
        <v>211</v>
      </c>
      <c r="C165" s="44">
        <v>3047.83</v>
      </c>
      <c r="E165" s="50">
        <v>0</v>
      </c>
      <c r="F165" s="50">
        <v>0</v>
      </c>
      <c r="G165" s="64">
        <f t="shared" si="18"/>
        <v>0</v>
      </c>
      <c r="H165" s="64">
        <f t="shared" si="19"/>
        <v>0</v>
      </c>
      <c r="J165" s="91"/>
    </row>
    <row r="166" spans="2:10" hidden="1" outlineLevel="2" x14ac:dyDescent="0.25">
      <c r="B166" s="1" t="s">
        <v>56</v>
      </c>
      <c r="C166" s="44">
        <v>11322.48</v>
      </c>
      <c r="E166" s="50">
        <v>0</v>
      </c>
      <c r="F166" s="50">
        <v>0</v>
      </c>
      <c r="G166" s="64">
        <f t="shared" si="18"/>
        <v>0</v>
      </c>
      <c r="H166" s="64">
        <f t="shared" si="19"/>
        <v>0</v>
      </c>
      <c r="J166" s="91"/>
    </row>
    <row r="167" spans="2:10" hidden="1" outlineLevel="2" x14ac:dyDescent="0.25">
      <c r="B167" s="1" t="s">
        <v>204</v>
      </c>
      <c r="C167" s="44">
        <v>7411.85</v>
      </c>
      <c r="E167" s="50">
        <v>0</v>
      </c>
      <c r="F167" s="50">
        <v>0</v>
      </c>
      <c r="G167" s="64">
        <f t="shared" si="18"/>
        <v>0</v>
      </c>
      <c r="H167" s="64">
        <f t="shared" si="19"/>
        <v>0</v>
      </c>
      <c r="J167" s="91"/>
    </row>
    <row r="168" spans="2:10" hidden="1" outlineLevel="2" x14ac:dyDescent="0.25">
      <c r="B168" s="1" t="s">
        <v>205</v>
      </c>
      <c r="C168" s="44">
        <v>3910.63</v>
      </c>
      <c r="E168" s="50">
        <v>0</v>
      </c>
      <c r="F168" s="50">
        <v>0</v>
      </c>
      <c r="G168" s="64">
        <f t="shared" si="18"/>
        <v>0</v>
      </c>
      <c r="H168" s="64">
        <f t="shared" si="19"/>
        <v>0</v>
      </c>
      <c r="J168" s="91"/>
    </row>
    <row r="169" spans="2:10" outlineLevel="1" collapsed="1" x14ac:dyDescent="0.25">
      <c r="B169" s="60" t="s">
        <v>212</v>
      </c>
      <c r="C169" s="61">
        <v>601.23</v>
      </c>
      <c r="E169" s="62"/>
      <c r="F169" s="62"/>
      <c r="G169" s="63"/>
      <c r="H169" s="63"/>
      <c r="J169" s="91"/>
    </row>
    <row r="170" spans="2:10" hidden="1" outlineLevel="2" x14ac:dyDescent="0.25">
      <c r="B170" s="1" t="s">
        <v>213</v>
      </c>
      <c r="C170" s="44">
        <v>601.23</v>
      </c>
      <c r="E170" s="50">
        <v>0</v>
      </c>
      <c r="F170" s="50">
        <v>0</v>
      </c>
      <c r="G170" s="64">
        <f>+E170*C170</f>
        <v>0</v>
      </c>
      <c r="H170" s="64">
        <f>+F170*C170</f>
        <v>0</v>
      </c>
      <c r="J170" s="91"/>
    </row>
    <row r="171" spans="2:10" outlineLevel="1" collapsed="1" x14ac:dyDescent="0.25">
      <c r="B171" s="60" t="s">
        <v>214</v>
      </c>
      <c r="C171" s="61">
        <v>6748</v>
      </c>
      <c r="E171" s="62"/>
      <c r="F171" s="62"/>
      <c r="G171" s="63"/>
      <c r="H171" s="63"/>
      <c r="J171" s="91"/>
    </row>
    <row r="172" spans="2:10" hidden="1" outlineLevel="2" x14ac:dyDescent="0.25">
      <c r="B172" s="1" t="s">
        <v>215</v>
      </c>
      <c r="C172" s="44">
        <v>4908</v>
      </c>
      <c r="E172" s="50">
        <v>0</v>
      </c>
      <c r="F172" s="50">
        <v>0</v>
      </c>
      <c r="G172" s="64">
        <f>+E172*C172</f>
        <v>0</v>
      </c>
      <c r="H172" s="64">
        <f>+F172*C172</f>
        <v>0</v>
      </c>
      <c r="J172" s="91"/>
    </row>
    <row r="173" spans="2:10" hidden="1" outlineLevel="2" x14ac:dyDescent="0.25">
      <c r="B173" s="1" t="s">
        <v>216</v>
      </c>
      <c r="C173" s="44">
        <v>1840</v>
      </c>
      <c r="E173" s="50">
        <v>0</v>
      </c>
      <c r="F173" s="50">
        <v>0</v>
      </c>
      <c r="G173" s="64">
        <f>+E173*C173</f>
        <v>0</v>
      </c>
      <c r="H173" s="64">
        <f>+F173*C173</f>
        <v>0</v>
      </c>
      <c r="J173" s="91"/>
    </row>
    <row r="174" spans="2:10" outlineLevel="1" collapsed="1" x14ac:dyDescent="0.25">
      <c r="B174" s="60" t="s">
        <v>217</v>
      </c>
      <c r="C174" s="61">
        <v>84000.59</v>
      </c>
      <c r="E174" s="62"/>
      <c r="F174" s="62"/>
      <c r="G174" s="63"/>
      <c r="H174" s="63"/>
      <c r="J174" s="91"/>
    </row>
    <row r="175" spans="2:10" hidden="1" outlineLevel="2" x14ac:dyDescent="0.25">
      <c r="B175" s="1" t="s">
        <v>218</v>
      </c>
      <c r="C175" s="44">
        <v>22907.69</v>
      </c>
      <c r="E175" s="50">
        <v>0</v>
      </c>
      <c r="F175" s="50">
        <v>0</v>
      </c>
      <c r="G175" s="64">
        <f t="shared" ref="G175:G180" si="20">+E175*C175</f>
        <v>0</v>
      </c>
      <c r="H175" s="64">
        <f t="shared" ref="H175:H180" si="21">+F175*C175</f>
        <v>0</v>
      </c>
      <c r="J175" s="91"/>
    </row>
    <row r="176" spans="2:10" hidden="1" outlineLevel="2" x14ac:dyDescent="0.25">
      <c r="B176" s="1" t="s">
        <v>219</v>
      </c>
      <c r="C176" s="44">
        <v>13744.6</v>
      </c>
      <c r="E176" s="50">
        <v>0</v>
      </c>
      <c r="F176" s="50">
        <v>0</v>
      </c>
      <c r="G176" s="64">
        <f t="shared" si="20"/>
        <v>0</v>
      </c>
      <c r="H176" s="64">
        <f t="shared" si="21"/>
        <v>0</v>
      </c>
      <c r="J176" s="91"/>
    </row>
    <row r="177" spans="2:10" hidden="1" outlineLevel="2" x14ac:dyDescent="0.25">
      <c r="B177" s="1" t="s">
        <v>220</v>
      </c>
      <c r="C177" s="44">
        <v>5059.93</v>
      </c>
      <c r="E177" s="50">
        <v>0</v>
      </c>
      <c r="F177" s="50">
        <v>0</v>
      </c>
      <c r="G177" s="64">
        <f t="shared" si="20"/>
        <v>0</v>
      </c>
      <c r="H177" s="64">
        <f t="shared" si="21"/>
        <v>0</v>
      </c>
      <c r="J177" s="91"/>
    </row>
    <row r="178" spans="2:10" hidden="1" outlineLevel="2" x14ac:dyDescent="0.25">
      <c r="B178" s="1" t="s">
        <v>221</v>
      </c>
      <c r="C178" s="44">
        <v>16035.38</v>
      </c>
      <c r="E178" s="50">
        <v>0</v>
      </c>
      <c r="F178" s="50">
        <v>0</v>
      </c>
      <c r="G178" s="64">
        <f t="shared" si="20"/>
        <v>0</v>
      </c>
      <c r="H178" s="64">
        <f t="shared" si="21"/>
        <v>0</v>
      </c>
      <c r="J178" s="91"/>
    </row>
    <row r="179" spans="2:10" hidden="1" outlineLevel="2" x14ac:dyDescent="0.25">
      <c r="B179" s="1" t="s">
        <v>222</v>
      </c>
      <c r="C179" s="44">
        <v>20239.72</v>
      </c>
      <c r="E179" s="50">
        <v>0</v>
      </c>
      <c r="F179" s="50">
        <v>0</v>
      </c>
      <c r="G179" s="64">
        <f t="shared" si="20"/>
        <v>0</v>
      </c>
      <c r="H179" s="64">
        <f t="shared" si="21"/>
        <v>0</v>
      </c>
      <c r="J179" s="91"/>
    </row>
    <row r="180" spans="2:10" hidden="1" outlineLevel="2" x14ac:dyDescent="0.25">
      <c r="B180" s="1" t="s">
        <v>223</v>
      </c>
      <c r="C180" s="44">
        <v>6013.27</v>
      </c>
      <c r="E180" s="50">
        <v>0</v>
      </c>
      <c r="F180" s="50">
        <v>0</v>
      </c>
      <c r="G180" s="64">
        <f t="shared" si="20"/>
        <v>0</v>
      </c>
      <c r="H180" s="64">
        <f t="shared" si="21"/>
        <v>0</v>
      </c>
      <c r="J180" s="91"/>
    </row>
    <row r="181" spans="2:10" outlineLevel="1" collapsed="1" x14ac:dyDescent="0.25">
      <c r="B181" s="60" t="s">
        <v>224</v>
      </c>
      <c r="C181" s="61">
        <v>69227.91</v>
      </c>
      <c r="E181" s="62"/>
      <c r="F181" s="62"/>
      <c r="G181" s="63"/>
      <c r="H181" s="63"/>
      <c r="J181" s="91"/>
    </row>
    <row r="182" spans="2:10" hidden="1" outlineLevel="2" x14ac:dyDescent="0.25">
      <c r="B182" s="1" t="s">
        <v>225</v>
      </c>
      <c r="C182" s="44">
        <v>15352.29</v>
      </c>
      <c r="E182" s="50">
        <v>0</v>
      </c>
      <c r="F182" s="50">
        <v>0</v>
      </c>
      <c r="G182" s="64">
        <f>+E182*C182</f>
        <v>0</v>
      </c>
      <c r="H182" s="64">
        <f>+F182*C182</f>
        <v>0</v>
      </c>
      <c r="J182" s="91"/>
    </row>
    <row r="183" spans="2:10" hidden="1" outlineLevel="2" x14ac:dyDescent="0.25">
      <c r="B183" s="1" t="s">
        <v>226</v>
      </c>
      <c r="C183" s="44">
        <v>24149.67</v>
      </c>
      <c r="E183" s="50">
        <v>0</v>
      </c>
      <c r="F183" s="50">
        <v>0</v>
      </c>
      <c r="G183" s="64">
        <f>+E183*C183</f>
        <v>0</v>
      </c>
      <c r="H183" s="64">
        <f>+F183*C183</f>
        <v>0</v>
      </c>
      <c r="J183" s="91"/>
    </row>
    <row r="184" spans="2:10" hidden="1" outlineLevel="2" x14ac:dyDescent="0.25">
      <c r="B184" s="1" t="s">
        <v>227</v>
      </c>
      <c r="C184" s="44">
        <v>24149.67</v>
      </c>
      <c r="E184" s="50">
        <v>0</v>
      </c>
      <c r="F184" s="50">
        <v>0</v>
      </c>
      <c r="G184" s="64">
        <f>+E184*C184</f>
        <v>0</v>
      </c>
      <c r="H184" s="64">
        <f>+F184*C184</f>
        <v>0</v>
      </c>
      <c r="J184" s="91"/>
    </row>
    <row r="185" spans="2:10" hidden="1" outlineLevel="2" x14ac:dyDescent="0.25">
      <c r="B185" s="1" t="s">
        <v>228</v>
      </c>
      <c r="C185" s="44">
        <v>5576.28</v>
      </c>
      <c r="E185" s="50">
        <v>0</v>
      </c>
      <c r="F185" s="50">
        <v>0</v>
      </c>
      <c r="G185" s="64">
        <f>+E185*C185</f>
        <v>0</v>
      </c>
      <c r="H185" s="64">
        <f>+F185*C185</f>
        <v>0</v>
      </c>
      <c r="J185" s="91"/>
    </row>
    <row r="186" spans="2:10" outlineLevel="1" collapsed="1" x14ac:dyDescent="0.25">
      <c r="B186" s="60" t="s">
        <v>229</v>
      </c>
      <c r="C186" s="61">
        <v>84201.54</v>
      </c>
      <c r="E186" s="62"/>
      <c r="F186" s="62"/>
      <c r="G186" s="63"/>
      <c r="H186" s="63"/>
      <c r="J186" s="91"/>
    </row>
    <row r="187" spans="2:10" hidden="1" outlineLevel="2" x14ac:dyDescent="0.25">
      <c r="B187" s="1" t="s">
        <v>230</v>
      </c>
      <c r="C187" s="44">
        <v>12127.73</v>
      </c>
      <c r="E187" s="50">
        <v>0</v>
      </c>
      <c r="F187" s="50">
        <v>0</v>
      </c>
      <c r="G187" s="64">
        <f t="shared" ref="G187:G203" si="22">+E187*C187</f>
        <v>0</v>
      </c>
      <c r="H187" s="64">
        <f t="shared" ref="H187:H203" si="23">+F187*C187</f>
        <v>0</v>
      </c>
      <c r="J187" s="91"/>
    </row>
    <row r="188" spans="2:10" hidden="1" outlineLevel="2" x14ac:dyDescent="0.25">
      <c r="B188" s="1" t="s">
        <v>231</v>
      </c>
      <c r="C188" s="44">
        <v>2414.94</v>
      </c>
      <c r="E188" s="50">
        <v>0</v>
      </c>
      <c r="F188" s="50">
        <v>0</v>
      </c>
      <c r="G188" s="64">
        <f t="shared" si="22"/>
        <v>0</v>
      </c>
      <c r="H188" s="64">
        <f t="shared" si="23"/>
        <v>0</v>
      </c>
      <c r="J188" s="91"/>
    </row>
    <row r="189" spans="2:10" hidden="1" outlineLevel="2" x14ac:dyDescent="0.25">
      <c r="B189" s="1" t="s">
        <v>232</v>
      </c>
      <c r="C189" s="44">
        <v>747.48</v>
      </c>
      <c r="E189" s="50">
        <v>0</v>
      </c>
      <c r="F189" s="50">
        <v>0</v>
      </c>
      <c r="G189" s="64">
        <f t="shared" si="22"/>
        <v>0</v>
      </c>
      <c r="H189" s="64">
        <f t="shared" si="23"/>
        <v>0</v>
      </c>
      <c r="J189" s="91"/>
    </row>
    <row r="190" spans="2:10" hidden="1" outlineLevel="2" x14ac:dyDescent="0.25">
      <c r="B190" s="1" t="s">
        <v>233</v>
      </c>
      <c r="C190" s="44">
        <v>5851.14</v>
      </c>
      <c r="E190" s="50">
        <v>0</v>
      </c>
      <c r="F190" s="50">
        <v>0</v>
      </c>
      <c r="G190" s="64">
        <f t="shared" si="22"/>
        <v>0</v>
      </c>
      <c r="H190" s="64">
        <f t="shared" si="23"/>
        <v>0</v>
      </c>
      <c r="J190" s="91"/>
    </row>
    <row r="191" spans="2:10" hidden="1" outlineLevel="2" x14ac:dyDescent="0.25">
      <c r="B191" s="1" t="s">
        <v>234</v>
      </c>
      <c r="C191" s="44">
        <v>2824.4</v>
      </c>
      <c r="E191" s="50">
        <v>0</v>
      </c>
      <c r="F191" s="50">
        <v>0</v>
      </c>
      <c r="G191" s="64">
        <f t="shared" si="22"/>
        <v>0</v>
      </c>
      <c r="H191" s="64">
        <f t="shared" si="23"/>
        <v>0</v>
      </c>
      <c r="J191" s="91"/>
    </row>
    <row r="192" spans="2:10" hidden="1" outlineLevel="2" x14ac:dyDescent="0.25">
      <c r="B192" s="1" t="s">
        <v>235</v>
      </c>
      <c r="C192" s="44">
        <v>1117.24</v>
      </c>
      <c r="E192" s="50">
        <v>0</v>
      </c>
      <c r="F192" s="50">
        <v>0</v>
      </c>
      <c r="G192" s="64">
        <f t="shared" si="22"/>
        <v>0</v>
      </c>
      <c r="H192" s="64">
        <f t="shared" si="23"/>
        <v>0</v>
      </c>
      <c r="J192" s="91"/>
    </row>
    <row r="193" spans="2:10" hidden="1" outlineLevel="2" x14ac:dyDescent="0.25">
      <c r="B193" s="1" t="s">
        <v>236</v>
      </c>
      <c r="C193" s="44">
        <v>2711.1</v>
      </c>
      <c r="E193" s="50">
        <v>0</v>
      </c>
      <c r="F193" s="50">
        <v>0</v>
      </c>
      <c r="G193" s="64">
        <f t="shared" si="22"/>
        <v>0</v>
      </c>
      <c r="H193" s="64">
        <f t="shared" si="23"/>
        <v>0</v>
      </c>
      <c r="J193" s="91"/>
    </row>
    <row r="194" spans="2:10" hidden="1" outlineLevel="2" x14ac:dyDescent="0.25">
      <c r="B194" s="1" t="s">
        <v>237</v>
      </c>
      <c r="C194" s="44">
        <v>4337.76</v>
      </c>
      <c r="E194" s="50">
        <v>0</v>
      </c>
      <c r="F194" s="50">
        <v>0</v>
      </c>
      <c r="G194" s="64">
        <f t="shared" si="22"/>
        <v>0</v>
      </c>
      <c r="H194" s="64">
        <f t="shared" si="23"/>
        <v>0</v>
      </c>
      <c r="J194" s="91"/>
    </row>
    <row r="195" spans="2:10" hidden="1" outlineLevel="2" x14ac:dyDescent="0.25">
      <c r="B195" s="1" t="s">
        <v>238</v>
      </c>
      <c r="C195" s="44">
        <v>10302.18</v>
      </c>
      <c r="E195" s="50">
        <v>0</v>
      </c>
      <c r="F195" s="50">
        <v>0</v>
      </c>
      <c r="G195" s="64">
        <f t="shared" si="22"/>
        <v>0</v>
      </c>
      <c r="H195" s="64">
        <f t="shared" si="23"/>
        <v>0</v>
      </c>
      <c r="J195" s="91"/>
    </row>
    <row r="196" spans="2:10" hidden="1" outlineLevel="2" x14ac:dyDescent="0.25">
      <c r="B196" s="1" t="s">
        <v>239</v>
      </c>
      <c r="C196" s="44">
        <v>5027.58</v>
      </c>
      <c r="E196" s="50">
        <v>0</v>
      </c>
      <c r="F196" s="50">
        <v>0</v>
      </c>
      <c r="G196" s="64">
        <f t="shared" si="22"/>
        <v>0</v>
      </c>
      <c r="H196" s="64">
        <f t="shared" si="23"/>
        <v>0</v>
      </c>
      <c r="J196" s="91"/>
    </row>
    <row r="197" spans="2:10" hidden="1" outlineLevel="2" x14ac:dyDescent="0.25">
      <c r="B197" s="1" t="s">
        <v>240</v>
      </c>
      <c r="C197" s="44">
        <v>3863.94</v>
      </c>
      <c r="E197" s="50">
        <v>0</v>
      </c>
      <c r="F197" s="50">
        <v>0</v>
      </c>
      <c r="G197" s="64">
        <f t="shared" si="22"/>
        <v>0</v>
      </c>
      <c r="H197" s="64">
        <f t="shared" si="23"/>
        <v>0</v>
      </c>
      <c r="J197" s="91"/>
    </row>
    <row r="198" spans="2:10" hidden="1" outlineLevel="2" x14ac:dyDescent="0.25">
      <c r="B198" s="1" t="s">
        <v>241</v>
      </c>
      <c r="C198" s="44">
        <v>11569.29</v>
      </c>
      <c r="E198" s="50">
        <v>0</v>
      </c>
      <c r="F198" s="50">
        <v>0</v>
      </c>
      <c r="G198" s="64">
        <f t="shared" si="22"/>
        <v>0</v>
      </c>
      <c r="H198" s="64">
        <f t="shared" si="23"/>
        <v>0</v>
      </c>
      <c r="J198" s="91"/>
    </row>
    <row r="199" spans="2:10" hidden="1" outlineLevel="2" x14ac:dyDescent="0.25">
      <c r="B199" s="1" t="s">
        <v>242</v>
      </c>
      <c r="C199" s="44">
        <v>3653.46</v>
      </c>
      <c r="E199" s="50">
        <v>0</v>
      </c>
      <c r="F199" s="50">
        <v>0</v>
      </c>
      <c r="G199" s="64">
        <f t="shared" si="22"/>
        <v>0</v>
      </c>
      <c r="H199" s="64">
        <f t="shared" si="23"/>
        <v>0</v>
      </c>
      <c r="J199" s="91"/>
    </row>
    <row r="200" spans="2:10" hidden="1" outlineLevel="2" x14ac:dyDescent="0.25">
      <c r="B200" s="1" t="s">
        <v>243</v>
      </c>
      <c r="C200" s="44">
        <v>1255.8</v>
      </c>
      <c r="E200" s="50">
        <v>0</v>
      </c>
      <c r="F200" s="50">
        <v>0</v>
      </c>
      <c r="G200" s="64">
        <f t="shared" si="22"/>
        <v>0</v>
      </c>
      <c r="H200" s="64">
        <f t="shared" si="23"/>
        <v>0</v>
      </c>
      <c r="J200" s="91"/>
    </row>
    <row r="201" spans="2:10" hidden="1" outlineLevel="2" x14ac:dyDescent="0.25">
      <c r="B201" s="1" t="s">
        <v>244</v>
      </c>
      <c r="C201" s="44">
        <v>2863.44</v>
      </c>
      <c r="E201" s="50">
        <v>0</v>
      </c>
      <c r="F201" s="50">
        <v>0</v>
      </c>
      <c r="G201" s="64">
        <f t="shared" si="22"/>
        <v>0</v>
      </c>
      <c r="H201" s="64">
        <f t="shared" si="23"/>
        <v>0</v>
      </c>
      <c r="J201" s="91"/>
    </row>
    <row r="202" spans="2:10" hidden="1" outlineLevel="2" x14ac:dyDescent="0.25">
      <c r="B202" s="1" t="s">
        <v>245</v>
      </c>
      <c r="C202" s="44">
        <v>3674.2</v>
      </c>
      <c r="E202" s="50">
        <v>0</v>
      </c>
      <c r="F202" s="50">
        <v>0</v>
      </c>
      <c r="G202" s="64">
        <f t="shared" si="22"/>
        <v>0</v>
      </c>
      <c r="H202" s="64">
        <f t="shared" si="23"/>
        <v>0</v>
      </c>
      <c r="J202" s="91"/>
    </row>
    <row r="203" spans="2:10" hidden="1" outlineLevel="2" x14ac:dyDescent="0.25">
      <c r="B203" s="1" t="s">
        <v>246</v>
      </c>
      <c r="C203" s="44">
        <v>9859.86</v>
      </c>
      <c r="E203" s="50">
        <v>0</v>
      </c>
      <c r="F203" s="50">
        <v>0</v>
      </c>
      <c r="G203" s="64">
        <f t="shared" si="22"/>
        <v>0</v>
      </c>
      <c r="H203" s="64">
        <f t="shared" si="23"/>
        <v>0</v>
      </c>
      <c r="J203" s="91"/>
    </row>
    <row r="204" spans="2:10" outlineLevel="1" collapsed="1" x14ac:dyDescent="0.25">
      <c r="B204" s="60" t="s">
        <v>247</v>
      </c>
      <c r="C204" s="61">
        <v>44739.77</v>
      </c>
      <c r="E204" s="62">
        <f>+G204/C204</f>
        <v>0</v>
      </c>
      <c r="F204" s="62">
        <f>+H204/C204</f>
        <v>0.25956899197291361</v>
      </c>
      <c r="G204" s="63">
        <f>SUM(G205:G229)</f>
        <v>0</v>
      </c>
      <c r="H204" s="63">
        <f>SUM(H205:H229)</f>
        <v>11613.057000000001</v>
      </c>
      <c r="J204" s="90">
        <f t="shared" ref="J204" si="24">+F204-E204</f>
        <v>0.25956899197291361</v>
      </c>
    </row>
    <row r="205" spans="2:10" hidden="1" outlineLevel="2" x14ac:dyDescent="0.25">
      <c r="B205" s="1" t="s">
        <v>248</v>
      </c>
      <c r="C205" s="44">
        <v>1693.92</v>
      </c>
      <c r="E205" s="50">
        <v>0</v>
      </c>
      <c r="F205" s="50">
        <v>0.3</v>
      </c>
      <c r="G205" s="64">
        <f t="shared" ref="G205:G229" si="25">+E205*C205</f>
        <v>0</v>
      </c>
      <c r="H205" s="64">
        <f t="shared" ref="H205:H229" si="26">+F205*C205</f>
        <v>508.17599999999999</v>
      </c>
      <c r="J205" s="91"/>
    </row>
    <row r="206" spans="2:10" hidden="1" outlineLevel="2" x14ac:dyDescent="0.25">
      <c r="B206" s="1" t="s">
        <v>249</v>
      </c>
      <c r="C206" s="44">
        <v>1322.48</v>
      </c>
      <c r="E206" s="50">
        <v>0</v>
      </c>
      <c r="F206" s="50">
        <v>0.3</v>
      </c>
      <c r="G206" s="64">
        <f t="shared" si="25"/>
        <v>0</v>
      </c>
      <c r="H206" s="64">
        <f t="shared" si="26"/>
        <v>396.74399999999997</v>
      </c>
      <c r="J206" s="91"/>
    </row>
    <row r="207" spans="2:10" hidden="1" outlineLevel="2" x14ac:dyDescent="0.25">
      <c r="B207" s="1" t="s">
        <v>250</v>
      </c>
      <c r="C207" s="44">
        <v>828.09</v>
      </c>
      <c r="E207" s="50">
        <v>0</v>
      </c>
      <c r="F207" s="50">
        <v>0.3</v>
      </c>
      <c r="G207" s="64">
        <f t="shared" si="25"/>
        <v>0</v>
      </c>
      <c r="H207" s="64">
        <f t="shared" si="26"/>
        <v>248.42699999999999</v>
      </c>
      <c r="J207" s="91"/>
    </row>
    <row r="208" spans="2:10" hidden="1" outlineLevel="2" x14ac:dyDescent="0.25">
      <c r="B208" s="1" t="s">
        <v>251</v>
      </c>
      <c r="C208" s="44">
        <v>1545.82</v>
      </c>
      <c r="E208" s="50">
        <v>0</v>
      </c>
      <c r="F208" s="50">
        <v>0.3</v>
      </c>
      <c r="G208" s="64">
        <f t="shared" si="25"/>
        <v>0</v>
      </c>
      <c r="H208" s="64">
        <f t="shared" si="26"/>
        <v>463.74599999999998</v>
      </c>
      <c r="J208" s="91"/>
    </row>
    <row r="209" spans="2:10" hidden="1" outlineLevel="2" x14ac:dyDescent="0.25">
      <c r="B209" s="1" t="s">
        <v>252</v>
      </c>
      <c r="C209" s="44">
        <v>1294.44</v>
      </c>
      <c r="E209" s="50">
        <v>0</v>
      </c>
      <c r="F209" s="50">
        <v>0.3</v>
      </c>
      <c r="G209" s="64">
        <f t="shared" si="25"/>
        <v>0</v>
      </c>
      <c r="H209" s="64">
        <f t="shared" si="26"/>
        <v>388.33199999999999</v>
      </c>
      <c r="J209" s="91"/>
    </row>
    <row r="210" spans="2:10" hidden="1" outlineLevel="2" x14ac:dyDescent="0.25">
      <c r="B210" s="1" t="s">
        <v>253</v>
      </c>
      <c r="C210" s="44">
        <v>4637.46</v>
      </c>
      <c r="E210" s="50">
        <v>0</v>
      </c>
      <c r="F210" s="50">
        <v>0.3</v>
      </c>
      <c r="G210" s="64">
        <f t="shared" si="25"/>
        <v>0</v>
      </c>
      <c r="H210" s="64">
        <f t="shared" si="26"/>
        <v>1391.2380000000001</v>
      </c>
      <c r="J210" s="91"/>
    </row>
    <row r="211" spans="2:10" hidden="1" outlineLevel="2" x14ac:dyDescent="0.25">
      <c r="B211" s="1" t="s">
        <v>254</v>
      </c>
      <c r="C211" s="44">
        <v>561.44000000000005</v>
      </c>
      <c r="E211" s="50">
        <v>0</v>
      </c>
      <c r="F211" s="50">
        <v>0.3</v>
      </c>
      <c r="G211" s="64">
        <f t="shared" si="25"/>
        <v>0</v>
      </c>
      <c r="H211" s="64">
        <f t="shared" si="26"/>
        <v>168.43200000000002</v>
      </c>
      <c r="J211" s="91"/>
    </row>
    <row r="212" spans="2:10" hidden="1" outlineLevel="2" x14ac:dyDescent="0.25">
      <c r="B212" s="1" t="s">
        <v>255</v>
      </c>
      <c r="C212" s="44">
        <v>4960.26</v>
      </c>
      <c r="E212" s="50">
        <v>0</v>
      </c>
      <c r="F212" s="50">
        <v>0.3</v>
      </c>
      <c r="G212" s="64">
        <f t="shared" si="25"/>
        <v>0</v>
      </c>
      <c r="H212" s="64">
        <f t="shared" si="26"/>
        <v>1488.078</v>
      </c>
      <c r="J212" s="91"/>
    </row>
    <row r="213" spans="2:10" hidden="1" outlineLevel="2" x14ac:dyDescent="0.25">
      <c r="B213" s="1" t="s">
        <v>256</v>
      </c>
      <c r="C213" s="44">
        <v>711.4</v>
      </c>
      <c r="E213" s="50">
        <v>0</v>
      </c>
      <c r="F213" s="50">
        <v>0.3</v>
      </c>
      <c r="G213" s="64">
        <f t="shared" si="25"/>
        <v>0</v>
      </c>
      <c r="H213" s="64">
        <f t="shared" si="26"/>
        <v>213.42</v>
      </c>
      <c r="J213" s="91"/>
    </row>
    <row r="214" spans="2:10" hidden="1" outlineLevel="2" x14ac:dyDescent="0.25">
      <c r="B214" s="1" t="s">
        <v>257</v>
      </c>
      <c r="C214" s="44">
        <v>769.21</v>
      </c>
      <c r="E214" s="50">
        <v>0</v>
      </c>
      <c r="F214" s="50">
        <v>0.3</v>
      </c>
      <c r="G214" s="64">
        <f t="shared" si="25"/>
        <v>0</v>
      </c>
      <c r="H214" s="64">
        <f t="shared" si="26"/>
        <v>230.76300000000001</v>
      </c>
      <c r="J214" s="91"/>
    </row>
    <row r="215" spans="2:10" hidden="1" outlineLevel="2" x14ac:dyDescent="0.25">
      <c r="B215" s="1" t="s">
        <v>258</v>
      </c>
      <c r="C215" s="44">
        <v>1422.8</v>
      </c>
      <c r="E215" s="50">
        <v>0</v>
      </c>
      <c r="F215" s="50">
        <v>0.3</v>
      </c>
      <c r="G215" s="64">
        <f t="shared" si="25"/>
        <v>0</v>
      </c>
      <c r="H215" s="64">
        <f t="shared" si="26"/>
        <v>426.84</v>
      </c>
      <c r="J215" s="91"/>
    </row>
    <row r="216" spans="2:10" hidden="1" outlineLevel="2" x14ac:dyDescent="0.25">
      <c r="B216" s="1" t="s">
        <v>259</v>
      </c>
      <c r="C216" s="44">
        <v>769.21</v>
      </c>
      <c r="E216" s="50">
        <v>0</v>
      </c>
      <c r="F216" s="50">
        <v>0.3</v>
      </c>
      <c r="G216" s="64">
        <f t="shared" si="25"/>
        <v>0</v>
      </c>
      <c r="H216" s="64">
        <f t="shared" si="26"/>
        <v>230.76300000000001</v>
      </c>
      <c r="J216" s="91"/>
    </row>
    <row r="217" spans="2:10" hidden="1" outlineLevel="2" x14ac:dyDescent="0.25">
      <c r="B217" s="1" t="s">
        <v>260</v>
      </c>
      <c r="C217" s="44">
        <v>2845.6</v>
      </c>
      <c r="E217" s="50">
        <v>0</v>
      </c>
      <c r="F217" s="50">
        <v>0.3</v>
      </c>
      <c r="G217" s="64">
        <f t="shared" si="25"/>
        <v>0</v>
      </c>
      <c r="H217" s="64">
        <f t="shared" si="26"/>
        <v>853.68</v>
      </c>
      <c r="J217" s="91"/>
    </row>
    <row r="218" spans="2:10" hidden="1" outlineLevel="2" x14ac:dyDescent="0.25">
      <c r="B218" s="1" t="s">
        <v>261</v>
      </c>
      <c r="C218" s="44">
        <v>1594.78</v>
      </c>
      <c r="E218" s="50">
        <v>0</v>
      </c>
      <c r="F218" s="50">
        <v>0.3</v>
      </c>
      <c r="G218" s="64">
        <f t="shared" si="25"/>
        <v>0</v>
      </c>
      <c r="H218" s="64">
        <f t="shared" si="26"/>
        <v>478.43399999999997</v>
      </c>
      <c r="J218" s="91"/>
    </row>
    <row r="219" spans="2:10" hidden="1" outlineLevel="2" x14ac:dyDescent="0.25">
      <c r="B219" s="1" t="s">
        <v>262</v>
      </c>
      <c r="C219" s="44">
        <v>1765.02</v>
      </c>
      <c r="E219" s="50">
        <v>0</v>
      </c>
      <c r="F219" s="50">
        <v>0.3</v>
      </c>
      <c r="G219" s="64">
        <f t="shared" si="25"/>
        <v>0</v>
      </c>
      <c r="H219" s="64">
        <f t="shared" si="26"/>
        <v>529.50599999999997</v>
      </c>
      <c r="J219" s="91"/>
    </row>
    <row r="220" spans="2:10" hidden="1" outlineLevel="2" x14ac:dyDescent="0.25">
      <c r="B220" s="1" t="s">
        <v>263</v>
      </c>
      <c r="C220" s="44">
        <v>2396.31</v>
      </c>
      <c r="E220" s="50">
        <v>0</v>
      </c>
      <c r="F220" s="50">
        <v>0.3</v>
      </c>
      <c r="G220" s="64">
        <f t="shared" si="25"/>
        <v>0</v>
      </c>
      <c r="H220" s="64">
        <f t="shared" si="26"/>
        <v>718.89299999999992</v>
      </c>
      <c r="J220" s="91"/>
    </row>
    <row r="221" spans="2:10" hidden="1" outlineLevel="2" x14ac:dyDescent="0.25">
      <c r="B221" s="1" t="s">
        <v>264</v>
      </c>
      <c r="C221" s="44">
        <v>1176.68</v>
      </c>
      <c r="E221" s="50">
        <v>0</v>
      </c>
      <c r="F221" s="50">
        <v>0.3</v>
      </c>
      <c r="G221" s="64">
        <f t="shared" si="25"/>
        <v>0</v>
      </c>
      <c r="H221" s="64">
        <f t="shared" si="26"/>
        <v>353.00400000000002</v>
      </c>
      <c r="J221" s="91"/>
    </row>
    <row r="222" spans="2:10" hidden="1" outlineLevel="2" x14ac:dyDescent="0.25">
      <c r="B222" s="1" t="s">
        <v>265</v>
      </c>
      <c r="C222" s="44">
        <v>797.39</v>
      </c>
      <c r="E222" s="50">
        <v>0</v>
      </c>
      <c r="F222" s="50">
        <v>0.3</v>
      </c>
      <c r="G222" s="64">
        <f t="shared" si="25"/>
        <v>0</v>
      </c>
      <c r="H222" s="64">
        <f t="shared" si="26"/>
        <v>239.21699999999998</v>
      </c>
      <c r="J222" s="91"/>
    </row>
    <row r="223" spans="2:10" hidden="1" outlineLevel="2" x14ac:dyDescent="0.25">
      <c r="B223" s="1" t="s">
        <v>266</v>
      </c>
      <c r="C223" s="44">
        <v>4437.96</v>
      </c>
      <c r="E223" s="50">
        <v>0</v>
      </c>
      <c r="F223" s="50">
        <v>0.5</v>
      </c>
      <c r="G223" s="64">
        <f t="shared" si="25"/>
        <v>0</v>
      </c>
      <c r="H223" s="64">
        <f t="shared" si="26"/>
        <v>2218.98</v>
      </c>
      <c r="J223" s="91"/>
    </row>
    <row r="224" spans="2:10" hidden="1" outlineLevel="2" x14ac:dyDescent="0.25">
      <c r="B224" s="1" t="s">
        <v>267</v>
      </c>
      <c r="C224" s="44">
        <v>2001.51</v>
      </c>
      <c r="E224" s="50">
        <v>0</v>
      </c>
      <c r="F224" s="50">
        <v>0</v>
      </c>
      <c r="G224" s="64">
        <f t="shared" si="25"/>
        <v>0</v>
      </c>
      <c r="H224" s="64">
        <f t="shared" si="26"/>
        <v>0</v>
      </c>
      <c r="J224" s="91"/>
    </row>
    <row r="225" spans="2:10" hidden="1" outlineLevel="2" x14ac:dyDescent="0.25">
      <c r="B225" s="1" t="s">
        <v>268</v>
      </c>
      <c r="C225" s="44">
        <v>5226.34</v>
      </c>
      <c r="E225" s="50">
        <v>0</v>
      </c>
      <c r="F225" s="50">
        <v>0</v>
      </c>
      <c r="G225" s="64">
        <f t="shared" si="25"/>
        <v>0</v>
      </c>
      <c r="H225" s="64">
        <f t="shared" si="26"/>
        <v>0</v>
      </c>
      <c r="J225" s="91"/>
    </row>
    <row r="226" spans="2:10" hidden="1" outlineLevel="2" x14ac:dyDescent="0.25">
      <c r="B226" s="1" t="s">
        <v>98</v>
      </c>
      <c r="C226" s="44">
        <v>287.5</v>
      </c>
      <c r="E226" s="50">
        <v>0</v>
      </c>
      <c r="F226" s="50">
        <v>0</v>
      </c>
      <c r="G226" s="64">
        <f t="shared" si="25"/>
        <v>0</v>
      </c>
      <c r="H226" s="64">
        <f t="shared" si="26"/>
        <v>0</v>
      </c>
      <c r="J226" s="91"/>
    </row>
    <row r="227" spans="2:10" hidden="1" outlineLevel="2" x14ac:dyDescent="0.25">
      <c r="B227" s="1" t="s">
        <v>95</v>
      </c>
      <c r="C227" s="44">
        <v>287.5</v>
      </c>
      <c r="E227" s="50">
        <v>0</v>
      </c>
      <c r="F227" s="50">
        <v>0</v>
      </c>
      <c r="G227" s="64">
        <f t="shared" si="25"/>
        <v>0</v>
      </c>
      <c r="H227" s="64">
        <f t="shared" si="26"/>
        <v>0</v>
      </c>
      <c r="J227" s="91"/>
    </row>
    <row r="228" spans="2:10" hidden="1" outlineLevel="2" x14ac:dyDescent="0.25">
      <c r="B228" s="1" t="s">
        <v>269</v>
      </c>
      <c r="C228" s="44">
        <v>663.84</v>
      </c>
      <c r="E228" s="50">
        <v>0</v>
      </c>
      <c r="F228" s="50">
        <v>0.1</v>
      </c>
      <c r="G228" s="64">
        <f t="shared" si="25"/>
        <v>0</v>
      </c>
      <c r="H228" s="64">
        <f t="shared" si="26"/>
        <v>66.384</v>
      </c>
      <c r="J228" s="91"/>
    </row>
    <row r="229" spans="2:10" hidden="1" outlineLevel="2" x14ac:dyDescent="0.25">
      <c r="B229" s="1" t="s">
        <v>270</v>
      </c>
      <c r="C229" s="44">
        <v>742.81</v>
      </c>
      <c r="E229" s="50">
        <v>0</v>
      </c>
      <c r="F229" s="50">
        <v>0</v>
      </c>
      <c r="G229" s="64">
        <f t="shared" si="25"/>
        <v>0</v>
      </c>
      <c r="H229" s="64">
        <f t="shared" si="26"/>
        <v>0</v>
      </c>
      <c r="J229" s="91"/>
    </row>
    <row r="230" spans="2:10" outlineLevel="1" collapsed="1" x14ac:dyDescent="0.25">
      <c r="B230" s="60" t="s">
        <v>271</v>
      </c>
      <c r="C230" s="61">
        <v>7447.38</v>
      </c>
      <c r="E230" s="62">
        <f>+G230/C230</f>
        <v>0</v>
      </c>
      <c r="F230" s="62">
        <f>+H230/C230</f>
        <v>1</v>
      </c>
      <c r="G230" s="63">
        <f>SUM(G231:G232)</f>
        <v>0</v>
      </c>
      <c r="H230" s="63">
        <f>SUM(H231:H232)</f>
        <v>7447.38</v>
      </c>
      <c r="J230" s="90">
        <f t="shared" ref="J230" si="27">+F230-E230</f>
        <v>1</v>
      </c>
    </row>
    <row r="231" spans="2:10" hidden="1" outlineLevel="2" x14ac:dyDescent="0.25">
      <c r="B231" s="1" t="s">
        <v>272</v>
      </c>
      <c r="C231" s="44">
        <v>6244.41</v>
      </c>
      <c r="E231" s="50">
        <v>0</v>
      </c>
      <c r="F231" s="50">
        <v>1</v>
      </c>
      <c r="G231" s="64">
        <f>+E231*C231</f>
        <v>0</v>
      </c>
      <c r="H231" s="64">
        <f>+F231*C231</f>
        <v>6244.41</v>
      </c>
      <c r="J231" s="91"/>
    </row>
    <row r="232" spans="2:10" hidden="1" outlineLevel="2" x14ac:dyDescent="0.25">
      <c r="B232" s="1" t="s">
        <v>81</v>
      </c>
      <c r="C232" s="44">
        <v>1202.97</v>
      </c>
      <c r="E232" s="50">
        <v>0</v>
      </c>
      <c r="F232" s="50">
        <v>1</v>
      </c>
      <c r="G232" s="64">
        <f>+E232*C232</f>
        <v>0</v>
      </c>
      <c r="H232" s="64">
        <f>+F232*C232</f>
        <v>1202.97</v>
      </c>
      <c r="J232" s="91"/>
    </row>
    <row r="233" spans="2:10" outlineLevel="1" collapsed="1" x14ac:dyDescent="0.25">
      <c r="B233" s="60" t="s">
        <v>273</v>
      </c>
      <c r="C233" s="61">
        <v>60980.65</v>
      </c>
      <c r="E233" s="62"/>
      <c r="F233" s="62"/>
      <c r="G233" s="63"/>
      <c r="H233" s="63"/>
      <c r="J233" s="91"/>
    </row>
    <row r="234" spans="2:10" hidden="1" outlineLevel="2" x14ac:dyDescent="0.25">
      <c r="B234" s="1" t="s">
        <v>274</v>
      </c>
      <c r="C234" s="44">
        <v>9496.2000000000007</v>
      </c>
      <c r="E234" s="50">
        <v>0</v>
      </c>
      <c r="F234" s="50">
        <v>0</v>
      </c>
      <c r="G234" s="64">
        <f t="shared" ref="G234:G241" si="28">+E234*C234</f>
        <v>0</v>
      </c>
      <c r="H234" s="64">
        <f t="shared" ref="H234:H241" si="29">+F234*C234</f>
        <v>0</v>
      </c>
      <c r="J234" s="91"/>
    </row>
    <row r="235" spans="2:10" hidden="1" outlineLevel="2" x14ac:dyDescent="0.25">
      <c r="B235" s="1" t="s">
        <v>275</v>
      </c>
      <c r="C235" s="44">
        <v>33355.86</v>
      </c>
      <c r="E235" s="50">
        <v>0</v>
      </c>
      <c r="F235" s="50">
        <v>0</v>
      </c>
      <c r="G235" s="64">
        <f t="shared" si="28"/>
        <v>0</v>
      </c>
      <c r="H235" s="64">
        <f t="shared" si="29"/>
        <v>0</v>
      </c>
      <c r="J235" s="91"/>
    </row>
    <row r="236" spans="2:10" hidden="1" outlineLevel="2" x14ac:dyDescent="0.25">
      <c r="B236" s="1" t="s">
        <v>276</v>
      </c>
      <c r="C236" s="44">
        <v>6045.86</v>
      </c>
      <c r="E236" s="50">
        <v>0</v>
      </c>
      <c r="F236" s="50">
        <v>0</v>
      </c>
      <c r="G236" s="64">
        <f t="shared" si="28"/>
        <v>0</v>
      </c>
      <c r="H236" s="64">
        <f t="shared" si="29"/>
        <v>0</v>
      </c>
      <c r="J236" s="91"/>
    </row>
    <row r="237" spans="2:10" hidden="1" outlineLevel="2" x14ac:dyDescent="0.25">
      <c r="B237" s="1" t="s">
        <v>277</v>
      </c>
      <c r="C237" s="44">
        <v>5513.04</v>
      </c>
      <c r="E237" s="50">
        <v>0</v>
      </c>
      <c r="F237" s="50">
        <v>0</v>
      </c>
      <c r="G237" s="64">
        <f t="shared" si="28"/>
        <v>0</v>
      </c>
      <c r="H237" s="64">
        <f t="shared" si="29"/>
        <v>0</v>
      </c>
      <c r="J237" s="91"/>
    </row>
    <row r="238" spans="2:10" hidden="1" outlineLevel="2" x14ac:dyDescent="0.25">
      <c r="B238" s="1" t="s">
        <v>278</v>
      </c>
      <c r="C238" s="44">
        <v>2336.73</v>
      </c>
      <c r="E238" s="50">
        <v>0</v>
      </c>
      <c r="F238" s="50">
        <v>0</v>
      </c>
      <c r="G238" s="64">
        <f t="shared" si="28"/>
        <v>0</v>
      </c>
      <c r="H238" s="64">
        <f t="shared" si="29"/>
        <v>0</v>
      </c>
      <c r="J238" s="91"/>
    </row>
    <row r="239" spans="2:10" hidden="1" outlineLevel="2" x14ac:dyDescent="0.25">
      <c r="B239" s="1" t="s">
        <v>279</v>
      </c>
      <c r="C239" s="44">
        <v>1557.82</v>
      </c>
      <c r="E239" s="50">
        <v>0</v>
      </c>
      <c r="F239" s="50">
        <v>0</v>
      </c>
      <c r="G239" s="64">
        <f t="shared" si="28"/>
        <v>0</v>
      </c>
      <c r="H239" s="64">
        <f t="shared" si="29"/>
        <v>0</v>
      </c>
      <c r="J239" s="91"/>
    </row>
    <row r="240" spans="2:10" hidden="1" outlineLevel="2" x14ac:dyDescent="0.25">
      <c r="B240" s="1" t="s">
        <v>280</v>
      </c>
      <c r="C240" s="44">
        <v>1837.02</v>
      </c>
      <c r="E240" s="50">
        <v>0</v>
      </c>
      <c r="F240" s="50">
        <v>0</v>
      </c>
      <c r="G240" s="64">
        <f t="shared" si="28"/>
        <v>0</v>
      </c>
      <c r="H240" s="64">
        <f t="shared" si="29"/>
        <v>0</v>
      </c>
      <c r="J240" s="91"/>
    </row>
    <row r="241" spans="2:10" hidden="1" outlineLevel="2" x14ac:dyDescent="0.25">
      <c r="B241" s="1" t="s">
        <v>281</v>
      </c>
      <c r="C241" s="44">
        <v>838.12</v>
      </c>
      <c r="E241" s="50">
        <v>0</v>
      </c>
      <c r="F241" s="50">
        <v>0</v>
      </c>
      <c r="G241" s="64">
        <f t="shared" si="28"/>
        <v>0</v>
      </c>
      <c r="H241" s="64">
        <f t="shared" si="29"/>
        <v>0</v>
      </c>
      <c r="J241" s="91"/>
    </row>
    <row r="242" spans="2:10" outlineLevel="1" collapsed="1" x14ac:dyDescent="0.25">
      <c r="B242" s="60" t="s">
        <v>282</v>
      </c>
      <c r="C242" s="61">
        <v>33942.879999999997</v>
      </c>
      <c r="E242" s="62"/>
      <c r="F242" s="62"/>
      <c r="G242" s="63"/>
      <c r="H242" s="63"/>
      <c r="J242" s="91"/>
    </row>
    <row r="243" spans="2:10" hidden="1" outlineLevel="2" x14ac:dyDescent="0.25">
      <c r="B243" s="1" t="s">
        <v>283</v>
      </c>
      <c r="C243" s="44">
        <v>1197.02</v>
      </c>
      <c r="E243" s="50">
        <v>0</v>
      </c>
      <c r="F243" s="50">
        <v>0</v>
      </c>
      <c r="G243" s="64">
        <f t="shared" ref="G243:G248" si="30">+E243*C243</f>
        <v>0</v>
      </c>
      <c r="H243" s="64">
        <f t="shared" ref="H243:H248" si="31">+F243*C243</f>
        <v>0</v>
      </c>
      <c r="J243" s="91"/>
    </row>
    <row r="244" spans="2:10" hidden="1" outlineLevel="2" x14ac:dyDescent="0.25">
      <c r="B244" s="1" t="s">
        <v>284</v>
      </c>
      <c r="C244" s="44">
        <v>1437.48</v>
      </c>
      <c r="E244" s="50">
        <v>0</v>
      </c>
      <c r="F244" s="50">
        <v>0</v>
      </c>
      <c r="G244" s="64">
        <f t="shared" si="30"/>
        <v>0</v>
      </c>
      <c r="H244" s="64">
        <f t="shared" si="31"/>
        <v>0</v>
      </c>
      <c r="J244" s="91"/>
    </row>
    <row r="245" spans="2:10" hidden="1" outlineLevel="2" x14ac:dyDescent="0.25">
      <c r="B245" s="1" t="s">
        <v>285</v>
      </c>
      <c r="C245" s="44">
        <v>431.24</v>
      </c>
      <c r="E245" s="50">
        <v>0</v>
      </c>
      <c r="F245" s="50">
        <v>0</v>
      </c>
      <c r="G245" s="64">
        <f t="shared" si="30"/>
        <v>0</v>
      </c>
      <c r="H245" s="64">
        <f t="shared" si="31"/>
        <v>0</v>
      </c>
      <c r="J245" s="91"/>
    </row>
    <row r="246" spans="2:10" hidden="1" outlineLevel="2" x14ac:dyDescent="0.25">
      <c r="B246" s="1" t="s">
        <v>286</v>
      </c>
      <c r="C246" s="44">
        <v>7647.39</v>
      </c>
      <c r="E246" s="50">
        <v>0</v>
      </c>
      <c r="F246" s="50">
        <v>0</v>
      </c>
      <c r="G246" s="64">
        <f t="shared" si="30"/>
        <v>0</v>
      </c>
      <c r="H246" s="64">
        <f t="shared" si="31"/>
        <v>0</v>
      </c>
      <c r="J246" s="91"/>
    </row>
    <row r="247" spans="2:10" hidden="1" outlineLevel="2" x14ac:dyDescent="0.25">
      <c r="B247" s="1" t="s">
        <v>287</v>
      </c>
      <c r="C247" s="44">
        <v>11232.46</v>
      </c>
      <c r="E247" s="50">
        <v>0</v>
      </c>
      <c r="F247" s="50">
        <v>0</v>
      </c>
      <c r="G247" s="64">
        <f t="shared" si="30"/>
        <v>0</v>
      </c>
      <c r="H247" s="64">
        <f t="shared" si="31"/>
        <v>0</v>
      </c>
      <c r="J247" s="91"/>
    </row>
    <row r="248" spans="2:10" hidden="1" outlineLevel="2" x14ac:dyDescent="0.25">
      <c r="B248" s="1" t="s">
        <v>288</v>
      </c>
      <c r="C248" s="44">
        <v>11997.29</v>
      </c>
      <c r="E248" s="50">
        <v>0</v>
      </c>
      <c r="F248" s="50">
        <v>0</v>
      </c>
      <c r="G248" s="64">
        <f t="shared" si="30"/>
        <v>0</v>
      </c>
      <c r="H248" s="64">
        <f t="shared" si="31"/>
        <v>0</v>
      </c>
      <c r="J248" s="91"/>
    </row>
    <row r="249" spans="2:10" outlineLevel="1" collapsed="1" x14ac:dyDescent="0.25">
      <c r="B249" s="60" t="s">
        <v>289</v>
      </c>
      <c r="C249" s="61">
        <v>12595.4</v>
      </c>
      <c r="E249" s="62"/>
      <c r="F249" s="62"/>
      <c r="G249" s="63"/>
      <c r="H249" s="63"/>
      <c r="J249" s="91"/>
    </row>
    <row r="250" spans="2:10" hidden="1" outlineLevel="2" x14ac:dyDescent="0.25">
      <c r="B250" s="1" t="s">
        <v>290</v>
      </c>
      <c r="C250" s="44">
        <v>1317.5</v>
      </c>
      <c r="E250" s="50">
        <v>0</v>
      </c>
      <c r="F250" s="50">
        <v>0</v>
      </c>
      <c r="G250" s="64">
        <f>+E250*C250</f>
        <v>0</v>
      </c>
      <c r="H250" s="64">
        <f>+F250*C250</f>
        <v>0</v>
      </c>
      <c r="J250" s="91"/>
    </row>
    <row r="251" spans="2:10" hidden="1" outlineLevel="2" x14ac:dyDescent="0.25">
      <c r="B251" s="1" t="s">
        <v>291</v>
      </c>
      <c r="C251" s="44">
        <v>1618.02</v>
      </c>
      <c r="E251" s="50">
        <v>0</v>
      </c>
      <c r="F251" s="50">
        <v>0</v>
      </c>
      <c r="G251" s="64">
        <f>+E251*C251</f>
        <v>0</v>
      </c>
      <c r="H251" s="64">
        <f>+F251*C251</f>
        <v>0</v>
      </c>
      <c r="J251" s="91"/>
    </row>
    <row r="252" spans="2:10" hidden="1" outlineLevel="2" x14ac:dyDescent="0.25">
      <c r="B252" s="1" t="s">
        <v>292</v>
      </c>
      <c r="C252" s="44">
        <v>9659.8799999999992</v>
      </c>
      <c r="E252" s="50">
        <v>0</v>
      </c>
      <c r="F252" s="50">
        <v>0</v>
      </c>
      <c r="G252" s="64">
        <f>+E252*C252</f>
        <v>0</v>
      </c>
      <c r="H252" s="64">
        <f>+F252*C252</f>
        <v>0</v>
      </c>
      <c r="J252" s="91"/>
    </row>
    <row r="253" spans="2:10" outlineLevel="1" collapsed="1" x14ac:dyDescent="0.25">
      <c r="B253" s="60" t="s">
        <v>293</v>
      </c>
      <c r="C253" s="61">
        <v>5273.89</v>
      </c>
      <c r="E253" s="62"/>
      <c r="F253" s="62"/>
      <c r="G253" s="63"/>
      <c r="H253" s="63"/>
      <c r="J253" s="91"/>
    </row>
    <row r="254" spans="2:10" hidden="1" outlineLevel="2" x14ac:dyDescent="0.25">
      <c r="B254" s="1" t="s">
        <v>294</v>
      </c>
      <c r="C254" s="44">
        <v>2229.8200000000002</v>
      </c>
      <c r="E254" s="50">
        <v>0</v>
      </c>
      <c r="F254" s="50">
        <v>0</v>
      </c>
      <c r="G254" s="64">
        <f>+E254*C254</f>
        <v>0</v>
      </c>
      <c r="H254" s="64">
        <f>+F254*C254</f>
        <v>0</v>
      </c>
      <c r="J254" s="91"/>
    </row>
    <row r="255" spans="2:10" hidden="1" outlineLevel="2" x14ac:dyDescent="0.25">
      <c r="B255" s="1" t="s">
        <v>295</v>
      </c>
      <c r="C255" s="44">
        <v>1083.8699999999999</v>
      </c>
      <c r="E255" s="50">
        <v>0</v>
      </c>
      <c r="F255" s="50">
        <v>0</v>
      </c>
      <c r="G255" s="64">
        <f>+E255*C255</f>
        <v>0</v>
      </c>
      <c r="H255" s="64">
        <f>+F255*C255</f>
        <v>0</v>
      </c>
      <c r="J255" s="91"/>
    </row>
    <row r="256" spans="2:10" hidden="1" outlineLevel="2" x14ac:dyDescent="0.25">
      <c r="B256" s="1" t="s">
        <v>296</v>
      </c>
      <c r="C256" s="44">
        <v>1960.2</v>
      </c>
      <c r="E256" s="50">
        <v>0</v>
      </c>
      <c r="F256" s="50">
        <v>0</v>
      </c>
      <c r="G256" s="64">
        <f>+E256*C256</f>
        <v>0</v>
      </c>
      <c r="H256" s="64">
        <f>+F256*C256</f>
        <v>0</v>
      </c>
      <c r="J256" s="91"/>
    </row>
    <row r="257" spans="2:10" outlineLevel="1" collapsed="1" x14ac:dyDescent="0.25">
      <c r="B257" s="60" t="s">
        <v>297</v>
      </c>
      <c r="C257" s="61">
        <v>26996.04</v>
      </c>
      <c r="E257" s="62"/>
      <c r="F257" s="62"/>
      <c r="G257" s="63"/>
      <c r="H257" s="63"/>
      <c r="J257" s="91"/>
    </row>
    <row r="258" spans="2:10" hidden="1" outlineLevel="2" x14ac:dyDescent="0.25">
      <c r="B258" s="1" t="s">
        <v>298</v>
      </c>
      <c r="C258" s="44">
        <v>26996.04</v>
      </c>
      <c r="E258" s="50">
        <v>0</v>
      </c>
      <c r="F258" s="50">
        <v>0</v>
      </c>
      <c r="G258" s="64">
        <f>+E258*C258</f>
        <v>0</v>
      </c>
      <c r="H258" s="64">
        <f>+F258*C258</f>
        <v>0</v>
      </c>
      <c r="J258" s="91"/>
    </row>
    <row r="259" spans="2:10" outlineLevel="1" collapsed="1" x14ac:dyDescent="0.25">
      <c r="J259" s="91"/>
    </row>
    <row r="260" spans="2:10" x14ac:dyDescent="0.25">
      <c r="B260" s="45" t="s">
        <v>405</v>
      </c>
      <c r="C260" s="46">
        <f>+C261+C263+C266+C292+C307+C309+C335+C349+C368+C377+C380+C383+C410+C419+C427+C444+C446+C449+C460+C466+C475+C490+C521+C524+C534+C541+C550+C552+C555</f>
        <v>2435578.5999999996</v>
      </c>
      <c r="E260" s="59">
        <f>+G260/C260</f>
        <v>0.22980962593446999</v>
      </c>
      <c r="F260" s="59">
        <f>+H260/C260</f>
        <v>0.1376469583038708</v>
      </c>
      <c r="G260" s="58">
        <f>+G261+G263+G266+G521+G292+G309+G307+G335</f>
        <v>559719.40700000001</v>
      </c>
      <c r="H260" s="58">
        <f>+H261+H263+H266+H521+H292+H309+H307</f>
        <v>335249.98599999998</v>
      </c>
      <c r="J260" s="97">
        <f t="shared" ref="J260" si="32">+F260-E260</f>
        <v>-9.2162667630599188E-2</v>
      </c>
    </row>
    <row r="261" spans="2:10" outlineLevel="1" x14ac:dyDescent="0.25">
      <c r="B261" s="60" t="s">
        <v>78</v>
      </c>
      <c r="C261" s="61">
        <v>9070.2000000000007</v>
      </c>
      <c r="E261" s="62">
        <f>+G261/C261</f>
        <v>1</v>
      </c>
      <c r="F261" s="62">
        <f>+H261/C261</f>
        <v>1</v>
      </c>
      <c r="G261" s="63">
        <f>+G262</f>
        <v>9070.2000000000007</v>
      </c>
      <c r="H261" s="63">
        <f>+H262</f>
        <v>9070.2000000000007</v>
      </c>
      <c r="J261" s="90">
        <f t="shared" ref="J261:J266" si="33">+F261-E261</f>
        <v>0</v>
      </c>
    </row>
    <row r="262" spans="2:10" hidden="1" outlineLevel="2" x14ac:dyDescent="0.25">
      <c r="B262" s="1" t="s">
        <v>79</v>
      </c>
      <c r="C262" s="44">
        <v>9070.2000000000007</v>
      </c>
      <c r="E262" s="50">
        <v>1</v>
      </c>
      <c r="F262" s="50">
        <v>1</v>
      </c>
      <c r="G262" s="64">
        <f>+E262*C262</f>
        <v>9070.2000000000007</v>
      </c>
      <c r="H262" s="64">
        <f>+F262*C262</f>
        <v>9070.2000000000007</v>
      </c>
      <c r="J262" s="90">
        <f t="shared" si="33"/>
        <v>0</v>
      </c>
    </row>
    <row r="263" spans="2:10" outlineLevel="1" collapsed="1" x14ac:dyDescent="0.25">
      <c r="B263" s="60" t="s">
        <v>80</v>
      </c>
      <c r="C263" s="61">
        <v>1855.37</v>
      </c>
      <c r="E263" s="62">
        <f>+G263/C263</f>
        <v>1</v>
      </c>
      <c r="F263" s="62">
        <f>+H263/C263</f>
        <v>1</v>
      </c>
      <c r="G263" s="63">
        <f>+G264+G265</f>
        <v>1855.37</v>
      </c>
      <c r="H263" s="63">
        <f>+H264+H265</f>
        <v>1855.37</v>
      </c>
      <c r="J263" s="90">
        <f t="shared" si="33"/>
        <v>0</v>
      </c>
    </row>
    <row r="264" spans="2:10" hidden="1" outlineLevel="2" x14ac:dyDescent="0.25">
      <c r="B264" s="1" t="s">
        <v>81</v>
      </c>
      <c r="C264" s="44">
        <v>1118.55</v>
      </c>
      <c r="E264" s="50">
        <v>1</v>
      </c>
      <c r="F264" s="50">
        <v>1</v>
      </c>
      <c r="G264" s="64">
        <f>+E264*C264</f>
        <v>1118.55</v>
      </c>
      <c r="H264" s="64">
        <f>+F264*C264</f>
        <v>1118.55</v>
      </c>
      <c r="J264" s="90">
        <f t="shared" si="33"/>
        <v>0</v>
      </c>
    </row>
    <row r="265" spans="2:10" hidden="1" outlineLevel="2" x14ac:dyDescent="0.25">
      <c r="B265" s="1" t="s">
        <v>82</v>
      </c>
      <c r="C265" s="44">
        <v>736.82</v>
      </c>
      <c r="E265" s="50">
        <v>1</v>
      </c>
      <c r="F265" s="50">
        <v>1</v>
      </c>
      <c r="G265" s="64">
        <f>+E265*C265</f>
        <v>736.82</v>
      </c>
      <c r="H265" s="64">
        <f>+F265*C265</f>
        <v>736.82</v>
      </c>
      <c r="J265" s="90">
        <f t="shared" si="33"/>
        <v>0</v>
      </c>
    </row>
    <row r="266" spans="2:10" outlineLevel="1" collapsed="1" x14ac:dyDescent="0.25">
      <c r="B266" s="60" t="s">
        <v>83</v>
      </c>
      <c r="C266" s="61">
        <v>183681.82</v>
      </c>
      <c r="E266" s="62">
        <f>+G266/C266</f>
        <v>0.99999999999999989</v>
      </c>
      <c r="F266" s="62">
        <f>+H266/C266</f>
        <v>0.99999999999999989</v>
      </c>
      <c r="G266" s="63">
        <f>SUM(G267:G291)</f>
        <v>183681.81999999998</v>
      </c>
      <c r="H266" s="63">
        <f>SUM(H267:H291)</f>
        <v>183681.81999999998</v>
      </c>
      <c r="J266" s="90">
        <f t="shared" si="33"/>
        <v>0</v>
      </c>
    </row>
    <row r="267" spans="2:10" hidden="1" outlineLevel="2" x14ac:dyDescent="0.25">
      <c r="B267" s="1" t="s">
        <v>84</v>
      </c>
      <c r="C267" s="44">
        <v>10207.56</v>
      </c>
      <c r="E267" s="50">
        <v>1</v>
      </c>
      <c r="F267" s="50">
        <v>1</v>
      </c>
      <c r="G267" s="64">
        <f t="shared" ref="G267:G291" si="34">+E267*C267</f>
        <v>10207.56</v>
      </c>
      <c r="H267" s="64">
        <f t="shared" ref="H267:H291" si="35">+F267*C267</f>
        <v>10207.56</v>
      </c>
    </row>
    <row r="268" spans="2:10" hidden="1" outlineLevel="2" x14ac:dyDescent="0.25">
      <c r="B268" s="1" t="s">
        <v>85</v>
      </c>
      <c r="C268" s="44">
        <v>5045.08</v>
      </c>
      <c r="E268" s="50">
        <v>1</v>
      </c>
      <c r="F268" s="50">
        <v>1</v>
      </c>
      <c r="G268" s="64">
        <f t="shared" si="34"/>
        <v>5045.08</v>
      </c>
      <c r="H268" s="64">
        <f t="shared" si="35"/>
        <v>5045.08</v>
      </c>
    </row>
    <row r="269" spans="2:10" hidden="1" outlineLevel="2" x14ac:dyDescent="0.25">
      <c r="B269" s="1" t="s">
        <v>86</v>
      </c>
      <c r="C269" s="44">
        <v>3100.09</v>
      </c>
      <c r="E269" s="50">
        <v>1</v>
      </c>
      <c r="F269" s="50">
        <v>1</v>
      </c>
      <c r="G269" s="64">
        <f t="shared" si="34"/>
        <v>3100.09</v>
      </c>
      <c r="H269" s="64">
        <f t="shared" si="35"/>
        <v>3100.09</v>
      </c>
    </row>
    <row r="270" spans="2:10" hidden="1" outlineLevel="2" x14ac:dyDescent="0.25">
      <c r="B270" s="1" t="s">
        <v>87</v>
      </c>
      <c r="C270" s="44">
        <v>2653.92</v>
      </c>
      <c r="E270" s="50">
        <v>1</v>
      </c>
      <c r="F270" s="50">
        <v>1</v>
      </c>
      <c r="G270" s="64">
        <f t="shared" si="34"/>
        <v>2653.92</v>
      </c>
      <c r="H270" s="64">
        <f t="shared" si="35"/>
        <v>2653.92</v>
      </c>
    </row>
    <row r="271" spans="2:10" hidden="1" outlineLevel="2" x14ac:dyDescent="0.25">
      <c r="B271" s="1" t="s">
        <v>88</v>
      </c>
      <c r="C271" s="44">
        <v>1452.12</v>
      </c>
      <c r="E271" s="50">
        <v>1</v>
      </c>
      <c r="F271" s="50">
        <v>1</v>
      </c>
      <c r="G271" s="64">
        <f t="shared" si="34"/>
        <v>1452.12</v>
      </c>
      <c r="H271" s="64">
        <f t="shared" si="35"/>
        <v>1452.12</v>
      </c>
    </row>
    <row r="272" spans="2:10" hidden="1" outlineLevel="2" x14ac:dyDescent="0.25">
      <c r="B272" s="1" t="s">
        <v>89</v>
      </c>
      <c r="C272" s="44">
        <v>2404.85</v>
      </c>
      <c r="E272" s="50">
        <v>1</v>
      </c>
      <c r="F272" s="50">
        <v>1</v>
      </c>
      <c r="G272" s="64">
        <f t="shared" si="34"/>
        <v>2404.85</v>
      </c>
      <c r="H272" s="64">
        <f t="shared" si="35"/>
        <v>2404.85</v>
      </c>
    </row>
    <row r="273" spans="2:8" hidden="1" outlineLevel="2" x14ac:dyDescent="0.25">
      <c r="B273" s="1" t="s">
        <v>90</v>
      </c>
      <c r="C273" s="44">
        <v>753.2</v>
      </c>
      <c r="E273" s="50">
        <v>1</v>
      </c>
      <c r="F273" s="50">
        <v>1</v>
      </c>
      <c r="G273" s="64">
        <f t="shared" si="34"/>
        <v>753.2</v>
      </c>
      <c r="H273" s="64">
        <f t="shared" si="35"/>
        <v>753.2</v>
      </c>
    </row>
    <row r="274" spans="2:8" hidden="1" outlineLevel="2" x14ac:dyDescent="0.25">
      <c r="B274" s="1" t="s">
        <v>91</v>
      </c>
      <c r="C274" s="44">
        <v>753.2</v>
      </c>
      <c r="E274" s="50">
        <v>1</v>
      </c>
      <c r="F274" s="50">
        <v>1</v>
      </c>
      <c r="G274" s="64">
        <f t="shared" si="34"/>
        <v>753.2</v>
      </c>
      <c r="H274" s="64">
        <f t="shared" si="35"/>
        <v>753.2</v>
      </c>
    </row>
    <row r="275" spans="2:8" hidden="1" outlineLevel="2" x14ac:dyDescent="0.25">
      <c r="B275" s="1" t="s">
        <v>300</v>
      </c>
      <c r="C275" s="44">
        <v>272.37</v>
      </c>
      <c r="E275" s="50">
        <v>1</v>
      </c>
      <c r="F275" s="50">
        <v>1</v>
      </c>
      <c r="G275" s="64">
        <f t="shared" si="34"/>
        <v>272.37</v>
      </c>
      <c r="H275" s="64">
        <f t="shared" si="35"/>
        <v>272.37</v>
      </c>
    </row>
    <row r="276" spans="2:8" hidden="1" outlineLevel="2" x14ac:dyDescent="0.25">
      <c r="B276" s="1" t="s">
        <v>92</v>
      </c>
      <c r="C276" s="44">
        <v>371.75</v>
      </c>
      <c r="E276" s="50">
        <v>1</v>
      </c>
      <c r="F276" s="50">
        <v>1</v>
      </c>
      <c r="G276" s="64">
        <f t="shared" si="34"/>
        <v>371.75</v>
      </c>
      <c r="H276" s="64">
        <f t="shared" si="35"/>
        <v>371.75</v>
      </c>
    </row>
    <row r="277" spans="2:8" hidden="1" outlineLevel="2" x14ac:dyDescent="0.25">
      <c r="B277" s="1" t="s">
        <v>93</v>
      </c>
      <c r="C277" s="44">
        <v>2465.0700000000002</v>
      </c>
      <c r="E277" s="50">
        <v>1</v>
      </c>
      <c r="F277" s="50">
        <v>1</v>
      </c>
      <c r="G277" s="64">
        <f t="shared" si="34"/>
        <v>2465.0700000000002</v>
      </c>
      <c r="H277" s="64">
        <f t="shared" si="35"/>
        <v>2465.0700000000002</v>
      </c>
    </row>
    <row r="278" spans="2:8" hidden="1" outlineLevel="2" x14ac:dyDescent="0.25">
      <c r="B278" s="1" t="s">
        <v>94</v>
      </c>
      <c r="C278" s="44">
        <v>582.14</v>
      </c>
      <c r="E278" s="50">
        <v>1</v>
      </c>
      <c r="F278" s="50">
        <v>1</v>
      </c>
      <c r="G278" s="64">
        <f t="shared" si="34"/>
        <v>582.14</v>
      </c>
      <c r="H278" s="64">
        <f t="shared" si="35"/>
        <v>582.14</v>
      </c>
    </row>
    <row r="279" spans="2:8" hidden="1" outlineLevel="2" x14ac:dyDescent="0.25">
      <c r="B279" s="1" t="s">
        <v>95</v>
      </c>
      <c r="C279" s="44">
        <v>574.99</v>
      </c>
      <c r="E279" s="50">
        <v>1</v>
      </c>
      <c r="F279" s="50">
        <v>1</v>
      </c>
      <c r="G279" s="64">
        <f t="shared" si="34"/>
        <v>574.99</v>
      </c>
      <c r="H279" s="64">
        <f t="shared" si="35"/>
        <v>574.99</v>
      </c>
    </row>
    <row r="280" spans="2:8" hidden="1" outlineLevel="2" x14ac:dyDescent="0.25">
      <c r="B280" s="1" t="s">
        <v>96</v>
      </c>
      <c r="C280" s="44">
        <v>1659.62</v>
      </c>
      <c r="E280" s="50">
        <v>1</v>
      </c>
      <c r="F280" s="50">
        <v>1</v>
      </c>
      <c r="G280" s="64">
        <f t="shared" si="34"/>
        <v>1659.62</v>
      </c>
      <c r="H280" s="64">
        <f t="shared" si="35"/>
        <v>1659.62</v>
      </c>
    </row>
    <row r="281" spans="2:8" hidden="1" outlineLevel="2" x14ac:dyDescent="0.25">
      <c r="B281" s="1" t="s">
        <v>97</v>
      </c>
      <c r="C281" s="44">
        <v>87.1</v>
      </c>
      <c r="E281" s="50">
        <v>1</v>
      </c>
      <c r="F281" s="50">
        <v>1</v>
      </c>
      <c r="G281" s="64">
        <f t="shared" si="34"/>
        <v>87.1</v>
      </c>
      <c r="H281" s="64">
        <f t="shared" si="35"/>
        <v>87.1</v>
      </c>
    </row>
    <row r="282" spans="2:8" hidden="1" outlineLevel="2" x14ac:dyDescent="0.25">
      <c r="B282" s="1" t="s">
        <v>98</v>
      </c>
      <c r="C282" s="44">
        <v>574.99</v>
      </c>
      <c r="E282" s="50">
        <v>1</v>
      </c>
      <c r="F282" s="50">
        <v>1</v>
      </c>
      <c r="G282" s="64">
        <f t="shared" si="34"/>
        <v>574.99</v>
      </c>
      <c r="H282" s="64">
        <f t="shared" si="35"/>
        <v>574.99</v>
      </c>
    </row>
    <row r="283" spans="2:8" hidden="1" outlineLevel="2" x14ac:dyDescent="0.25">
      <c r="B283" s="1" t="s">
        <v>99</v>
      </c>
      <c r="C283" s="44">
        <v>18766.14</v>
      </c>
      <c r="E283" s="50">
        <v>1</v>
      </c>
      <c r="F283" s="50">
        <v>1</v>
      </c>
      <c r="G283" s="64">
        <f t="shared" si="34"/>
        <v>18766.14</v>
      </c>
      <c r="H283" s="64">
        <f t="shared" si="35"/>
        <v>18766.14</v>
      </c>
    </row>
    <row r="284" spans="2:8" hidden="1" outlineLevel="2" x14ac:dyDescent="0.25">
      <c r="B284" s="1" t="s">
        <v>100</v>
      </c>
      <c r="C284" s="44">
        <v>11214.79</v>
      </c>
      <c r="E284" s="50">
        <v>1</v>
      </c>
      <c r="F284" s="50">
        <v>1</v>
      </c>
      <c r="G284" s="64">
        <f t="shared" si="34"/>
        <v>11214.79</v>
      </c>
      <c r="H284" s="64">
        <f t="shared" si="35"/>
        <v>11214.79</v>
      </c>
    </row>
    <row r="285" spans="2:8" hidden="1" outlineLevel="2" x14ac:dyDescent="0.25">
      <c r="B285" s="1" t="s">
        <v>101</v>
      </c>
      <c r="C285" s="44">
        <v>5062.1499999999996</v>
      </c>
      <c r="E285" s="50">
        <v>1</v>
      </c>
      <c r="F285" s="50">
        <v>1</v>
      </c>
      <c r="G285" s="64">
        <f t="shared" si="34"/>
        <v>5062.1499999999996</v>
      </c>
      <c r="H285" s="64">
        <f t="shared" si="35"/>
        <v>5062.1499999999996</v>
      </c>
    </row>
    <row r="286" spans="2:8" hidden="1" outlineLevel="2" x14ac:dyDescent="0.25">
      <c r="B286" s="1" t="s">
        <v>102</v>
      </c>
      <c r="C286" s="44">
        <v>7598.06</v>
      </c>
      <c r="E286" s="50">
        <v>1</v>
      </c>
      <c r="F286" s="50">
        <v>1</v>
      </c>
      <c r="G286" s="64">
        <f t="shared" si="34"/>
        <v>7598.06</v>
      </c>
      <c r="H286" s="64">
        <f t="shared" si="35"/>
        <v>7598.06</v>
      </c>
    </row>
    <row r="287" spans="2:8" hidden="1" outlineLevel="2" x14ac:dyDescent="0.25">
      <c r="B287" s="1" t="s">
        <v>103</v>
      </c>
      <c r="C287" s="44">
        <v>14734.01</v>
      </c>
      <c r="E287" s="50">
        <v>1</v>
      </c>
      <c r="F287" s="50">
        <v>1</v>
      </c>
      <c r="G287" s="64">
        <f t="shared" si="34"/>
        <v>14734.01</v>
      </c>
      <c r="H287" s="64">
        <f t="shared" si="35"/>
        <v>14734.01</v>
      </c>
    </row>
    <row r="288" spans="2:8" hidden="1" outlineLevel="2" x14ac:dyDescent="0.25">
      <c r="B288" s="1" t="s">
        <v>104</v>
      </c>
      <c r="C288" s="44">
        <v>50517.75</v>
      </c>
      <c r="E288" s="50">
        <v>1</v>
      </c>
      <c r="F288" s="50">
        <v>1</v>
      </c>
      <c r="G288" s="64">
        <f t="shared" si="34"/>
        <v>50517.75</v>
      </c>
      <c r="H288" s="64">
        <f t="shared" si="35"/>
        <v>50517.75</v>
      </c>
    </row>
    <row r="289" spans="2:10" hidden="1" outlineLevel="2" x14ac:dyDescent="0.25">
      <c r="B289" s="1" t="s">
        <v>105</v>
      </c>
      <c r="C289" s="44">
        <v>2501.31</v>
      </c>
      <c r="E289" s="50">
        <v>1</v>
      </c>
      <c r="F289" s="50">
        <v>1</v>
      </c>
      <c r="G289" s="64">
        <f t="shared" si="34"/>
        <v>2501.31</v>
      </c>
      <c r="H289" s="64">
        <f t="shared" si="35"/>
        <v>2501.31</v>
      </c>
    </row>
    <row r="290" spans="2:10" hidden="1" outlineLevel="2" x14ac:dyDescent="0.25">
      <c r="B290" s="1" t="s">
        <v>106</v>
      </c>
      <c r="C290" s="44">
        <v>13441.06</v>
      </c>
      <c r="E290" s="50">
        <v>1</v>
      </c>
      <c r="F290" s="50">
        <v>1</v>
      </c>
      <c r="G290" s="64">
        <f t="shared" si="34"/>
        <v>13441.06</v>
      </c>
      <c r="H290" s="64">
        <f t="shared" si="35"/>
        <v>13441.06</v>
      </c>
    </row>
    <row r="291" spans="2:10" hidden="1" outlineLevel="2" x14ac:dyDescent="0.25">
      <c r="B291" s="1" t="s">
        <v>107</v>
      </c>
      <c r="C291" s="44">
        <v>26888.5</v>
      </c>
      <c r="E291" s="50">
        <v>1</v>
      </c>
      <c r="F291" s="50">
        <v>1</v>
      </c>
      <c r="G291" s="64">
        <f t="shared" si="34"/>
        <v>26888.5</v>
      </c>
      <c r="H291" s="64">
        <f t="shared" si="35"/>
        <v>26888.5</v>
      </c>
    </row>
    <row r="292" spans="2:10" outlineLevel="1" collapsed="1" x14ac:dyDescent="0.25">
      <c r="B292" s="60" t="s">
        <v>110</v>
      </c>
      <c r="C292" s="61">
        <v>167033.85</v>
      </c>
      <c r="E292" s="62">
        <f>+G292/C292</f>
        <v>0.99999999999999978</v>
      </c>
      <c r="F292" s="62">
        <f>+H292/C292</f>
        <v>0.7684261363789433</v>
      </c>
      <c r="G292" s="63">
        <f>SUM(G293:G306)</f>
        <v>167033.84999999998</v>
      </c>
      <c r="H292" s="63">
        <f>SUM(H293:H306)</f>
        <v>128353.17599999996</v>
      </c>
      <c r="J292" s="96">
        <f t="shared" ref="J292" si="36">+F292-E292</f>
        <v>-0.23157386362105647</v>
      </c>
    </row>
    <row r="293" spans="2:10" hidden="1" outlineLevel="2" x14ac:dyDescent="0.25">
      <c r="B293" s="1" t="s">
        <v>111</v>
      </c>
      <c r="C293" s="44">
        <v>0</v>
      </c>
      <c r="E293" s="50">
        <v>1</v>
      </c>
      <c r="F293" s="50">
        <v>1</v>
      </c>
      <c r="G293" s="64">
        <f t="shared" ref="G293:G306" si="37">+E293*C293</f>
        <v>0</v>
      </c>
      <c r="H293" s="64">
        <f t="shared" ref="H293:H306" si="38">+F293*C293</f>
        <v>0</v>
      </c>
    </row>
    <row r="294" spans="2:10" hidden="1" outlineLevel="2" x14ac:dyDescent="0.25">
      <c r="B294" s="1" t="s">
        <v>112</v>
      </c>
      <c r="C294" s="44">
        <v>25106.13</v>
      </c>
      <c r="E294" s="50">
        <v>1</v>
      </c>
      <c r="F294" s="50">
        <v>0.9</v>
      </c>
      <c r="G294" s="64">
        <f t="shared" si="37"/>
        <v>25106.13</v>
      </c>
      <c r="H294" s="64">
        <f t="shared" si="38"/>
        <v>22595.517</v>
      </c>
    </row>
    <row r="295" spans="2:10" hidden="1" outlineLevel="2" x14ac:dyDescent="0.25">
      <c r="B295" s="1" t="s">
        <v>114</v>
      </c>
      <c r="C295" s="44">
        <v>19843.650000000001</v>
      </c>
      <c r="E295" s="50">
        <v>1</v>
      </c>
      <c r="F295" s="50">
        <v>0.9</v>
      </c>
      <c r="G295" s="64">
        <f t="shared" si="37"/>
        <v>19843.650000000001</v>
      </c>
      <c r="H295" s="64">
        <f t="shared" si="38"/>
        <v>17859.285000000003</v>
      </c>
    </row>
    <row r="296" spans="2:10" hidden="1" outlineLevel="2" x14ac:dyDescent="0.25">
      <c r="B296" s="1" t="s">
        <v>115</v>
      </c>
      <c r="C296" s="44">
        <v>2267.86</v>
      </c>
      <c r="E296" s="50">
        <v>1</v>
      </c>
      <c r="F296" s="50">
        <v>0.9</v>
      </c>
      <c r="G296" s="64">
        <f t="shared" si="37"/>
        <v>2267.86</v>
      </c>
      <c r="H296" s="64">
        <f t="shared" si="38"/>
        <v>2041.0740000000001</v>
      </c>
    </row>
    <row r="297" spans="2:10" hidden="1" outlineLevel="2" x14ac:dyDescent="0.25">
      <c r="B297" s="1" t="s">
        <v>116</v>
      </c>
      <c r="C297" s="44">
        <v>3146.27</v>
      </c>
      <c r="E297" s="50">
        <v>1</v>
      </c>
      <c r="F297" s="50">
        <v>0.9</v>
      </c>
      <c r="G297" s="64">
        <f t="shared" si="37"/>
        <v>3146.27</v>
      </c>
      <c r="H297" s="64">
        <f t="shared" si="38"/>
        <v>2831.643</v>
      </c>
    </row>
    <row r="298" spans="2:10" hidden="1" outlineLevel="2" x14ac:dyDescent="0.25">
      <c r="B298" s="1" t="s">
        <v>117</v>
      </c>
      <c r="C298" s="44">
        <v>6981.21</v>
      </c>
      <c r="E298" s="50">
        <v>1</v>
      </c>
      <c r="F298" s="50">
        <v>0.9</v>
      </c>
      <c r="G298" s="64">
        <f t="shared" si="37"/>
        <v>6981.21</v>
      </c>
      <c r="H298" s="64">
        <f t="shared" si="38"/>
        <v>6283.0889999999999</v>
      </c>
    </row>
    <row r="299" spans="2:10" hidden="1" outlineLevel="2" x14ac:dyDescent="0.25">
      <c r="B299" s="1" t="s">
        <v>120</v>
      </c>
      <c r="C299" s="44">
        <v>21736.69</v>
      </c>
      <c r="E299" s="50">
        <v>1</v>
      </c>
      <c r="F299" s="50">
        <v>0.05</v>
      </c>
      <c r="G299" s="64">
        <f t="shared" si="37"/>
        <v>21736.69</v>
      </c>
      <c r="H299" s="64">
        <f t="shared" si="38"/>
        <v>1086.8344999999999</v>
      </c>
    </row>
    <row r="300" spans="2:10" hidden="1" outlineLevel="2" x14ac:dyDescent="0.25">
      <c r="B300" s="1" t="s">
        <v>121</v>
      </c>
      <c r="C300" s="44">
        <v>6832.58</v>
      </c>
      <c r="E300" s="50">
        <v>1</v>
      </c>
      <c r="F300" s="50">
        <v>0</v>
      </c>
      <c r="G300" s="64">
        <f t="shared" si="37"/>
        <v>6832.58</v>
      </c>
      <c r="H300" s="64">
        <f t="shared" si="38"/>
        <v>0</v>
      </c>
    </row>
    <row r="301" spans="2:10" hidden="1" outlineLevel="2" x14ac:dyDescent="0.25">
      <c r="B301" s="1" t="s">
        <v>122</v>
      </c>
      <c r="C301" s="44">
        <v>7108.11</v>
      </c>
      <c r="E301" s="50">
        <v>1</v>
      </c>
      <c r="F301" s="50">
        <v>0.8</v>
      </c>
      <c r="G301" s="64">
        <f t="shared" si="37"/>
        <v>7108.11</v>
      </c>
      <c r="H301" s="64">
        <f t="shared" si="38"/>
        <v>5686.4880000000003</v>
      </c>
    </row>
    <row r="302" spans="2:10" hidden="1" outlineLevel="2" x14ac:dyDescent="0.25">
      <c r="B302" s="1" t="s">
        <v>123</v>
      </c>
      <c r="C302" s="44">
        <v>18986.43</v>
      </c>
      <c r="E302" s="50">
        <v>1</v>
      </c>
      <c r="F302" s="50">
        <v>0.95</v>
      </c>
      <c r="G302" s="64">
        <f t="shared" si="37"/>
        <v>18986.43</v>
      </c>
      <c r="H302" s="64">
        <f t="shared" si="38"/>
        <v>18037.108499999998</v>
      </c>
    </row>
    <row r="303" spans="2:10" hidden="1" outlineLevel="2" x14ac:dyDescent="0.25">
      <c r="B303" s="1" t="s">
        <v>124</v>
      </c>
      <c r="C303" s="44">
        <v>52446.46</v>
      </c>
      <c r="E303" s="50">
        <v>1</v>
      </c>
      <c r="F303" s="50">
        <v>0.95</v>
      </c>
      <c r="G303" s="64">
        <f t="shared" si="37"/>
        <v>52446.46</v>
      </c>
      <c r="H303" s="64">
        <f t="shared" si="38"/>
        <v>49824.136999999995</v>
      </c>
    </row>
    <row r="304" spans="2:10" hidden="1" outlineLevel="2" x14ac:dyDescent="0.25">
      <c r="B304" s="1" t="s">
        <v>301</v>
      </c>
      <c r="C304" s="44">
        <v>1637.54</v>
      </c>
      <c r="E304" s="50">
        <v>1</v>
      </c>
      <c r="F304" s="50">
        <v>1</v>
      </c>
      <c r="G304" s="64">
        <f t="shared" si="37"/>
        <v>1637.54</v>
      </c>
      <c r="H304" s="64">
        <f t="shared" si="38"/>
        <v>1637.54</v>
      </c>
    </row>
    <row r="305" spans="2:8" hidden="1" outlineLevel="2" x14ac:dyDescent="0.25">
      <c r="B305" s="1" t="s">
        <v>90</v>
      </c>
      <c r="C305" s="44">
        <v>470.46</v>
      </c>
      <c r="E305" s="50">
        <v>1</v>
      </c>
      <c r="F305" s="50">
        <v>0.5</v>
      </c>
      <c r="G305" s="64">
        <f t="shared" si="37"/>
        <v>470.46</v>
      </c>
      <c r="H305" s="64">
        <f t="shared" si="38"/>
        <v>235.23</v>
      </c>
    </row>
    <row r="306" spans="2:8" hidden="1" outlineLevel="2" x14ac:dyDescent="0.25">
      <c r="B306" s="1" t="s">
        <v>91</v>
      </c>
      <c r="C306" s="44">
        <v>470.46</v>
      </c>
      <c r="E306" s="50">
        <v>1</v>
      </c>
      <c r="F306" s="50">
        <v>0.5</v>
      </c>
      <c r="G306" s="64">
        <f t="shared" si="37"/>
        <v>470.46</v>
      </c>
      <c r="H306" s="64">
        <f t="shared" si="38"/>
        <v>235.23</v>
      </c>
    </row>
    <row r="307" spans="2:8" outlineLevel="1" collapsed="1" x14ac:dyDescent="0.25">
      <c r="B307" s="60" t="s">
        <v>125</v>
      </c>
      <c r="C307" s="61">
        <v>26683.07</v>
      </c>
      <c r="E307" s="62">
        <f>+G307/C307</f>
        <v>0.5</v>
      </c>
      <c r="F307" s="62">
        <v>0.55000000000000004</v>
      </c>
      <c r="G307" s="63">
        <f>+G308</f>
        <v>13341.535</v>
      </c>
      <c r="H307" s="63">
        <f>+H308</f>
        <v>0</v>
      </c>
    </row>
    <row r="308" spans="2:8" hidden="1" outlineLevel="2" x14ac:dyDescent="0.25">
      <c r="B308" s="1" t="s">
        <v>126</v>
      </c>
      <c r="C308" s="44">
        <v>26683.07</v>
      </c>
      <c r="E308" s="50">
        <v>0.5</v>
      </c>
      <c r="F308" s="50">
        <v>0</v>
      </c>
      <c r="G308" s="64">
        <f>+E308*C308</f>
        <v>13341.535</v>
      </c>
      <c r="H308" s="64">
        <f>+F308*C308</f>
        <v>0</v>
      </c>
    </row>
    <row r="309" spans="2:8" outlineLevel="1" collapsed="1" x14ac:dyDescent="0.25">
      <c r="B309" s="60" t="s">
        <v>497</v>
      </c>
      <c r="C309" s="61">
        <v>203007.14</v>
      </c>
      <c r="E309" s="62">
        <f>+G309/C309</f>
        <v>0.82109047987179129</v>
      </c>
      <c r="F309" s="62">
        <f>+H309/C309</f>
        <v>0</v>
      </c>
      <c r="G309" s="63">
        <f>SUM(G310:G334)</f>
        <v>166687.22999999992</v>
      </c>
      <c r="H309" s="63">
        <f>SUM(H310:H334)</f>
        <v>0</v>
      </c>
    </row>
    <row r="310" spans="2:8" hidden="1" outlineLevel="2" x14ac:dyDescent="0.25">
      <c r="B310" s="1" t="s">
        <v>302</v>
      </c>
      <c r="C310" s="44">
        <v>12050.32</v>
      </c>
      <c r="E310" s="50">
        <v>1</v>
      </c>
      <c r="F310" s="50">
        <v>0</v>
      </c>
      <c r="G310" s="64">
        <f t="shared" ref="G310:G334" si="39">+E310*C310</f>
        <v>12050.32</v>
      </c>
      <c r="H310" s="64">
        <f t="shared" ref="H310:H334" si="40">+F310*C310</f>
        <v>0</v>
      </c>
    </row>
    <row r="311" spans="2:8" hidden="1" outlineLevel="2" x14ac:dyDescent="0.25">
      <c r="B311" s="1" t="s">
        <v>303</v>
      </c>
      <c r="C311" s="44">
        <v>7601.03</v>
      </c>
      <c r="E311" s="50">
        <v>1</v>
      </c>
      <c r="F311" s="50">
        <v>0</v>
      </c>
      <c r="G311" s="64">
        <f t="shared" si="39"/>
        <v>7601.03</v>
      </c>
      <c r="H311" s="64">
        <f t="shared" si="40"/>
        <v>0</v>
      </c>
    </row>
    <row r="312" spans="2:8" hidden="1" outlineLevel="2" x14ac:dyDescent="0.25">
      <c r="B312" s="1" t="s">
        <v>138</v>
      </c>
      <c r="C312" s="44">
        <v>975.71</v>
      </c>
      <c r="E312" s="50">
        <v>1</v>
      </c>
      <c r="F312" s="50">
        <v>0</v>
      </c>
      <c r="G312" s="64">
        <f t="shared" si="39"/>
        <v>975.71</v>
      </c>
      <c r="H312" s="64">
        <f t="shared" si="40"/>
        <v>0</v>
      </c>
    </row>
    <row r="313" spans="2:8" hidden="1" outlineLevel="2" x14ac:dyDescent="0.25">
      <c r="B313" s="1" t="s">
        <v>304</v>
      </c>
      <c r="C313" s="44">
        <v>1982.23</v>
      </c>
      <c r="E313" s="50">
        <v>1</v>
      </c>
      <c r="F313" s="50">
        <v>0</v>
      </c>
      <c r="G313" s="64">
        <f t="shared" si="39"/>
        <v>1982.23</v>
      </c>
      <c r="H313" s="64">
        <f t="shared" si="40"/>
        <v>0</v>
      </c>
    </row>
    <row r="314" spans="2:8" hidden="1" outlineLevel="2" x14ac:dyDescent="0.25">
      <c r="B314" s="1" t="s">
        <v>136</v>
      </c>
      <c r="C314" s="44">
        <v>1165.56</v>
      </c>
      <c r="E314" s="50">
        <v>1</v>
      </c>
      <c r="F314" s="50">
        <v>0</v>
      </c>
      <c r="G314" s="64">
        <f t="shared" si="39"/>
        <v>1165.56</v>
      </c>
      <c r="H314" s="64">
        <f t="shared" si="40"/>
        <v>0</v>
      </c>
    </row>
    <row r="315" spans="2:8" hidden="1" outlineLevel="2" x14ac:dyDescent="0.25">
      <c r="B315" s="1" t="s">
        <v>137</v>
      </c>
      <c r="C315" s="44">
        <v>11155.31</v>
      </c>
      <c r="E315" s="50">
        <v>1</v>
      </c>
      <c r="F315" s="50">
        <v>0</v>
      </c>
      <c r="G315" s="64">
        <f t="shared" si="39"/>
        <v>11155.31</v>
      </c>
      <c r="H315" s="64">
        <f t="shared" si="40"/>
        <v>0</v>
      </c>
    </row>
    <row r="316" spans="2:8" hidden="1" outlineLevel="2" x14ac:dyDescent="0.25">
      <c r="B316" s="1" t="s">
        <v>305</v>
      </c>
      <c r="C316" s="44">
        <v>8306.69</v>
      </c>
      <c r="E316" s="50">
        <v>1</v>
      </c>
      <c r="F316" s="50">
        <v>0</v>
      </c>
      <c r="G316" s="64">
        <f t="shared" si="39"/>
        <v>8306.69</v>
      </c>
      <c r="H316" s="64">
        <f t="shared" si="40"/>
        <v>0</v>
      </c>
    </row>
    <row r="317" spans="2:8" hidden="1" outlineLevel="2" x14ac:dyDescent="0.25">
      <c r="B317" s="1" t="s">
        <v>306</v>
      </c>
      <c r="C317" s="44">
        <v>1060.23</v>
      </c>
      <c r="E317" s="50">
        <v>1</v>
      </c>
      <c r="F317" s="50">
        <v>0</v>
      </c>
      <c r="G317" s="64">
        <f t="shared" si="39"/>
        <v>1060.23</v>
      </c>
      <c r="H317" s="64">
        <f t="shared" si="40"/>
        <v>0</v>
      </c>
    </row>
    <row r="318" spans="2:8" hidden="1" outlineLevel="2" x14ac:dyDescent="0.25">
      <c r="B318" s="1" t="s">
        <v>307</v>
      </c>
      <c r="C318" s="44">
        <v>22015.54</v>
      </c>
      <c r="E318" s="50">
        <v>1</v>
      </c>
      <c r="F318" s="50">
        <v>0</v>
      </c>
      <c r="G318" s="64">
        <f t="shared" si="39"/>
        <v>22015.54</v>
      </c>
      <c r="H318" s="64">
        <f t="shared" si="40"/>
        <v>0</v>
      </c>
    </row>
    <row r="319" spans="2:8" hidden="1" outlineLevel="2" x14ac:dyDescent="0.25">
      <c r="B319" s="1" t="s">
        <v>308</v>
      </c>
      <c r="C319" s="44">
        <v>2269.54</v>
      </c>
      <c r="E319" s="50">
        <v>1</v>
      </c>
      <c r="F319" s="50">
        <v>0</v>
      </c>
      <c r="G319" s="64">
        <f t="shared" si="39"/>
        <v>2269.54</v>
      </c>
      <c r="H319" s="64">
        <f t="shared" si="40"/>
        <v>0</v>
      </c>
    </row>
    <row r="320" spans="2:8" hidden="1" outlineLevel="2" x14ac:dyDescent="0.25">
      <c r="B320" s="1" t="s">
        <v>309</v>
      </c>
      <c r="C320" s="44">
        <v>1319.5</v>
      </c>
      <c r="E320" s="50">
        <v>1</v>
      </c>
      <c r="F320" s="50">
        <v>0</v>
      </c>
      <c r="G320" s="64">
        <f t="shared" si="39"/>
        <v>1319.5</v>
      </c>
      <c r="H320" s="64">
        <f t="shared" si="40"/>
        <v>0</v>
      </c>
    </row>
    <row r="321" spans="2:8" hidden="1" outlineLevel="2" x14ac:dyDescent="0.25">
      <c r="B321" s="1" t="s">
        <v>139</v>
      </c>
      <c r="C321" s="44">
        <v>3628.43</v>
      </c>
      <c r="E321" s="50">
        <v>1</v>
      </c>
      <c r="F321" s="50">
        <v>0</v>
      </c>
      <c r="G321" s="64">
        <f t="shared" si="39"/>
        <v>3628.43</v>
      </c>
      <c r="H321" s="64">
        <f t="shared" si="40"/>
        <v>0</v>
      </c>
    </row>
    <row r="322" spans="2:8" hidden="1" outlineLevel="2" x14ac:dyDescent="0.25">
      <c r="B322" s="1" t="s">
        <v>310</v>
      </c>
      <c r="C322" s="44">
        <v>1314.66</v>
      </c>
      <c r="E322" s="50">
        <v>1</v>
      </c>
      <c r="F322" s="50">
        <v>0</v>
      </c>
      <c r="G322" s="64">
        <f t="shared" si="39"/>
        <v>1314.66</v>
      </c>
      <c r="H322" s="64">
        <f t="shared" si="40"/>
        <v>0</v>
      </c>
    </row>
    <row r="323" spans="2:8" hidden="1" outlineLevel="2" x14ac:dyDescent="0.25">
      <c r="B323" s="1" t="s">
        <v>311</v>
      </c>
      <c r="C323" s="44">
        <v>20441.740000000002</v>
      </c>
      <c r="E323" s="50">
        <v>1</v>
      </c>
      <c r="F323" s="50">
        <v>0</v>
      </c>
      <c r="G323" s="64">
        <f t="shared" si="39"/>
        <v>20441.740000000002</v>
      </c>
      <c r="H323" s="64">
        <f t="shared" si="40"/>
        <v>0</v>
      </c>
    </row>
    <row r="324" spans="2:8" hidden="1" outlineLevel="2" x14ac:dyDescent="0.25">
      <c r="B324" s="1" t="s">
        <v>141</v>
      </c>
      <c r="C324" s="44">
        <v>57407.360000000001</v>
      </c>
      <c r="E324" s="50">
        <v>1</v>
      </c>
      <c r="F324" s="50">
        <v>0</v>
      </c>
      <c r="G324" s="64">
        <f t="shared" si="39"/>
        <v>57407.360000000001</v>
      </c>
      <c r="H324" s="64">
        <f t="shared" si="40"/>
        <v>0</v>
      </c>
    </row>
    <row r="325" spans="2:8" hidden="1" outlineLevel="2" x14ac:dyDescent="0.25">
      <c r="B325" s="1" t="s">
        <v>105</v>
      </c>
      <c r="C325" s="44">
        <v>2378.69</v>
      </c>
      <c r="E325" s="50">
        <v>0</v>
      </c>
      <c r="F325" s="50">
        <v>0</v>
      </c>
      <c r="G325" s="64">
        <f t="shared" si="39"/>
        <v>0</v>
      </c>
      <c r="H325" s="64">
        <f t="shared" si="40"/>
        <v>0</v>
      </c>
    </row>
    <row r="326" spans="2:8" hidden="1" outlineLevel="2" x14ac:dyDescent="0.25">
      <c r="B326" s="1" t="s">
        <v>140</v>
      </c>
      <c r="C326" s="44">
        <v>33366.230000000003</v>
      </c>
      <c r="E326" s="50">
        <v>0</v>
      </c>
      <c r="F326" s="50">
        <v>0</v>
      </c>
      <c r="G326" s="64">
        <f t="shared" si="39"/>
        <v>0</v>
      </c>
      <c r="H326" s="64">
        <f t="shared" si="40"/>
        <v>0</v>
      </c>
    </row>
    <row r="327" spans="2:8" hidden="1" outlineLevel="2" x14ac:dyDescent="0.25">
      <c r="B327" s="1" t="s">
        <v>142</v>
      </c>
      <c r="C327" s="44">
        <v>4977.22</v>
      </c>
      <c r="E327" s="50">
        <v>1</v>
      </c>
      <c r="F327" s="50">
        <v>0</v>
      </c>
      <c r="G327" s="64">
        <f t="shared" si="39"/>
        <v>4977.22</v>
      </c>
      <c r="H327" s="64">
        <f t="shared" si="40"/>
        <v>0</v>
      </c>
    </row>
    <row r="328" spans="2:8" hidden="1" outlineLevel="2" x14ac:dyDescent="0.25">
      <c r="B328" s="1" t="s">
        <v>143</v>
      </c>
      <c r="C328" s="44">
        <v>5312.02</v>
      </c>
      <c r="E328" s="50">
        <v>1</v>
      </c>
      <c r="F328" s="50">
        <v>0</v>
      </c>
      <c r="G328" s="64">
        <f t="shared" si="39"/>
        <v>5312.02</v>
      </c>
      <c r="H328" s="64">
        <f t="shared" si="40"/>
        <v>0</v>
      </c>
    </row>
    <row r="329" spans="2:8" hidden="1" outlineLevel="2" x14ac:dyDescent="0.25">
      <c r="B329" s="1" t="s">
        <v>312</v>
      </c>
      <c r="C329" s="44">
        <v>717.18</v>
      </c>
      <c r="E329" s="50">
        <v>1</v>
      </c>
      <c r="F329" s="50">
        <v>0</v>
      </c>
      <c r="G329" s="64">
        <f t="shared" si="39"/>
        <v>717.18</v>
      </c>
      <c r="H329" s="64">
        <f t="shared" si="40"/>
        <v>0</v>
      </c>
    </row>
    <row r="330" spans="2:8" hidden="1" outlineLevel="2" x14ac:dyDescent="0.25">
      <c r="B330" s="1" t="s">
        <v>313</v>
      </c>
      <c r="C330" s="44">
        <v>1532.33</v>
      </c>
      <c r="E330" s="50">
        <v>1</v>
      </c>
      <c r="F330" s="50">
        <v>0</v>
      </c>
      <c r="G330" s="64">
        <f t="shared" si="39"/>
        <v>1532.33</v>
      </c>
      <c r="H330" s="64">
        <f t="shared" si="40"/>
        <v>0</v>
      </c>
    </row>
    <row r="331" spans="2:8" hidden="1" outlineLevel="2" x14ac:dyDescent="0.25">
      <c r="B331" s="1" t="s">
        <v>95</v>
      </c>
      <c r="C331" s="44">
        <v>574.99</v>
      </c>
      <c r="E331" s="50">
        <v>0</v>
      </c>
      <c r="F331" s="50">
        <v>0</v>
      </c>
      <c r="G331" s="64">
        <f t="shared" si="39"/>
        <v>0</v>
      </c>
      <c r="H331" s="64">
        <f t="shared" si="40"/>
        <v>0</v>
      </c>
    </row>
    <row r="332" spans="2:8" hidden="1" outlineLevel="2" x14ac:dyDescent="0.25">
      <c r="B332" s="1" t="s">
        <v>314</v>
      </c>
      <c r="C332" s="44">
        <v>402.9</v>
      </c>
      <c r="E332" s="50">
        <v>1</v>
      </c>
      <c r="F332" s="50">
        <v>0</v>
      </c>
      <c r="G332" s="64">
        <f t="shared" si="39"/>
        <v>402.9</v>
      </c>
      <c r="H332" s="64">
        <f t="shared" si="40"/>
        <v>0</v>
      </c>
    </row>
    <row r="333" spans="2:8" hidden="1" outlineLevel="2" x14ac:dyDescent="0.25">
      <c r="B333" s="1" t="s">
        <v>315</v>
      </c>
      <c r="C333" s="44">
        <v>476.74</v>
      </c>
      <c r="E333" s="50">
        <v>1</v>
      </c>
      <c r="F333" s="50">
        <v>0</v>
      </c>
      <c r="G333" s="64">
        <f t="shared" si="39"/>
        <v>476.74</v>
      </c>
      <c r="H333" s="64">
        <f t="shared" si="40"/>
        <v>0</v>
      </c>
    </row>
    <row r="334" spans="2:8" hidden="1" outlineLevel="2" x14ac:dyDescent="0.25">
      <c r="B334" s="1" t="s">
        <v>98</v>
      </c>
      <c r="C334" s="44">
        <v>574.99</v>
      </c>
      <c r="E334" s="50">
        <v>1</v>
      </c>
      <c r="F334" s="50">
        <v>0</v>
      </c>
      <c r="G334" s="64">
        <f t="shared" si="39"/>
        <v>574.99</v>
      </c>
      <c r="H334" s="64">
        <f t="shared" si="40"/>
        <v>0</v>
      </c>
    </row>
    <row r="335" spans="2:8" outlineLevel="1" collapsed="1" x14ac:dyDescent="0.25">
      <c r="B335" s="60" t="s">
        <v>148</v>
      </c>
      <c r="C335" s="61">
        <v>226919.92</v>
      </c>
      <c r="E335" s="62">
        <f>+G335/C335</f>
        <v>7.954084418855778E-2</v>
      </c>
      <c r="F335" s="62">
        <f>+H335/C335</f>
        <v>0</v>
      </c>
      <c r="G335" s="63">
        <f>SUM(G336:G348)</f>
        <v>18049.401999999998</v>
      </c>
      <c r="H335" s="63">
        <f>SUM(H336:H348)</f>
        <v>0</v>
      </c>
    </row>
    <row r="336" spans="2:8" hidden="1" outlineLevel="2" x14ac:dyDescent="0.25">
      <c r="B336" s="1" t="s">
        <v>149</v>
      </c>
      <c r="C336" s="44">
        <v>0</v>
      </c>
      <c r="E336" s="50">
        <v>1</v>
      </c>
      <c r="F336" s="50">
        <v>0</v>
      </c>
      <c r="G336" s="64">
        <f t="shared" ref="G336:G348" si="41">+E336*C336</f>
        <v>0</v>
      </c>
      <c r="H336" s="64">
        <f t="shared" ref="H336:H348" si="42">+F336*C336</f>
        <v>0</v>
      </c>
    </row>
    <row r="337" spans="2:8" hidden="1" outlineLevel="2" x14ac:dyDescent="0.25">
      <c r="B337" s="1" t="s">
        <v>112</v>
      </c>
      <c r="C337" s="44">
        <v>28730.91</v>
      </c>
      <c r="E337" s="50">
        <v>0</v>
      </c>
      <c r="F337" s="50">
        <v>0</v>
      </c>
      <c r="G337" s="64">
        <f t="shared" si="41"/>
        <v>0</v>
      </c>
      <c r="H337" s="64">
        <f t="shared" si="42"/>
        <v>0</v>
      </c>
    </row>
    <row r="338" spans="2:8" hidden="1" outlineLevel="2" x14ac:dyDescent="0.25">
      <c r="B338" s="1" t="s">
        <v>113</v>
      </c>
      <c r="C338" s="44">
        <v>13836.35</v>
      </c>
      <c r="E338" s="50">
        <v>0</v>
      </c>
      <c r="F338" s="50">
        <v>0</v>
      </c>
      <c r="G338" s="64">
        <f t="shared" si="41"/>
        <v>0</v>
      </c>
      <c r="H338" s="64">
        <f t="shared" si="42"/>
        <v>0</v>
      </c>
    </row>
    <row r="339" spans="2:8" hidden="1" outlineLevel="2" x14ac:dyDescent="0.25">
      <c r="B339" s="1" t="s">
        <v>115</v>
      </c>
      <c r="C339" s="44">
        <v>4849.9399999999996</v>
      </c>
      <c r="E339" s="50">
        <v>0</v>
      </c>
      <c r="F339" s="50">
        <v>0</v>
      </c>
      <c r="G339" s="64">
        <f t="shared" si="41"/>
        <v>0</v>
      </c>
      <c r="H339" s="64">
        <f t="shared" si="42"/>
        <v>0</v>
      </c>
    </row>
    <row r="340" spans="2:8" hidden="1" outlineLevel="2" x14ac:dyDescent="0.25">
      <c r="B340" s="1" t="s">
        <v>116</v>
      </c>
      <c r="C340" s="44">
        <v>7235.14</v>
      </c>
      <c r="E340" s="50">
        <v>0</v>
      </c>
      <c r="F340" s="50">
        <v>0</v>
      </c>
      <c r="G340" s="64">
        <f t="shared" si="41"/>
        <v>0</v>
      </c>
      <c r="H340" s="64">
        <f t="shared" si="42"/>
        <v>0</v>
      </c>
    </row>
    <row r="341" spans="2:8" hidden="1" outlineLevel="2" x14ac:dyDescent="0.25">
      <c r="B341" s="1" t="s">
        <v>316</v>
      </c>
      <c r="C341" s="44">
        <v>3264.93</v>
      </c>
      <c r="E341" s="50">
        <v>0</v>
      </c>
      <c r="F341" s="50">
        <v>0</v>
      </c>
      <c r="G341" s="64">
        <f t="shared" si="41"/>
        <v>0</v>
      </c>
      <c r="H341" s="64">
        <f t="shared" si="42"/>
        <v>0</v>
      </c>
    </row>
    <row r="342" spans="2:8" hidden="1" outlineLevel="2" x14ac:dyDescent="0.25">
      <c r="B342" s="1" t="s">
        <v>317</v>
      </c>
      <c r="C342" s="44">
        <v>14238.46</v>
      </c>
      <c r="E342" s="50">
        <v>0</v>
      </c>
      <c r="F342" s="50">
        <v>0</v>
      </c>
      <c r="G342" s="64">
        <f t="shared" si="41"/>
        <v>0</v>
      </c>
      <c r="H342" s="64">
        <f t="shared" si="42"/>
        <v>0</v>
      </c>
    </row>
    <row r="343" spans="2:8" hidden="1" outlineLevel="2" x14ac:dyDescent="0.25">
      <c r="B343" s="1" t="s">
        <v>120</v>
      </c>
      <c r="C343" s="44">
        <v>25086.720000000001</v>
      </c>
      <c r="E343" s="50">
        <v>0</v>
      </c>
      <c r="F343" s="50">
        <v>0</v>
      </c>
      <c r="G343" s="64">
        <f t="shared" si="41"/>
        <v>0</v>
      </c>
      <c r="H343" s="64">
        <f t="shared" si="42"/>
        <v>0</v>
      </c>
    </row>
    <row r="344" spans="2:8" hidden="1" outlineLevel="2" x14ac:dyDescent="0.25">
      <c r="B344" s="1" t="s">
        <v>121</v>
      </c>
      <c r="C344" s="44">
        <v>18304.060000000001</v>
      </c>
      <c r="E344" s="50">
        <v>0</v>
      </c>
      <c r="F344" s="50">
        <v>0</v>
      </c>
      <c r="G344" s="64">
        <f t="shared" si="41"/>
        <v>0</v>
      </c>
      <c r="H344" s="64">
        <f t="shared" si="42"/>
        <v>0</v>
      </c>
    </row>
    <row r="345" spans="2:8" hidden="1" outlineLevel="2" x14ac:dyDescent="0.25">
      <c r="B345" s="1" t="s">
        <v>122</v>
      </c>
      <c r="C345" s="44">
        <v>20409.62</v>
      </c>
      <c r="E345" s="50">
        <v>0</v>
      </c>
      <c r="F345" s="50">
        <v>0</v>
      </c>
      <c r="G345" s="64">
        <f t="shared" si="41"/>
        <v>0</v>
      </c>
      <c r="H345" s="64">
        <f t="shared" si="42"/>
        <v>0</v>
      </c>
    </row>
    <row r="346" spans="2:8" hidden="1" outlineLevel="2" x14ac:dyDescent="0.25">
      <c r="B346" s="1" t="s">
        <v>123</v>
      </c>
      <c r="C346" s="44">
        <v>38435.51</v>
      </c>
      <c r="E346" s="50">
        <v>0</v>
      </c>
      <c r="F346" s="50">
        <v>0</v>
      </c>
      <c r="G346" s="64">
        <f t="shared" si="41"/>
        <v>0</v>
      </c>
      <c r="H346" s="64">
        <f t="shared" si="42"/>
        <v>0</v>
      </c>
    </row>
    <row r="347" spans="2:8" hidden="1" outlineLevel="2" x14ac:dyDescent="0.25">
      <c r="B347" s="1" t="s">
        <v>150</v>
      </c>
      <c r="C347" s="44">
        <v>51569.72</v>
      </c>
      <c r="E347" s="50">
        <v>0.35</v>
      </c>
      <c r="F347" s="50">
        <v>0</v>
      </c>
      <c r="G347" s="64">
        <f t="shared" si="41"/>
        <v>18049.401999999998</v>
      </c>
      <c r="H347" s="64">
        <f t="shared" si="42"/>
        <v>0</v>
      </c>
    </row>
    <row r="348" spans="2:8" hidden="1" outlineLevel="2" x14ac:dyDescent="0.25">
      <c r="B348" s="1" t="s">
        <v>318</v>
      </c>
      <c r="C348" s="44">
        <v>958.56</v>
      </c>
      <c r="E348" s="50">
        <v>0</v>
      </c>
      <c r="F348" s="50">
        <v>0</v>
      </c>
      <c r="G348" s="64">
        <f t="shared" si="41"/>
        <v>0</v>
      </c>
      <c r="H348" s="64">
        <f t="shared" si="42"/>
        <v>0</v>
      </c>
    </row>
    <row r="349" spans="2:8" outlineLevel="1" collapsed="1" x14ac:dyDescent="0.25">
      <c r="B349" s="60" t="s">
        <v>151</v>
      </c>
      <c r="C349" s="61">
        <v>126484.85</v>
      </c>
      <c r="E349" s="62"/>
      <c r="F349" s="62"/>
      <c r="G349" s="63"/>
      <c r="H349" s="63"/>
    </row>
    <row r="350" spans="2:8" hidden="1" outlineLevel="2" x14ac:dyDescent="0.25">
      <c r="B350" s="1" t="s">
        <v>152</v>
      </c>
      <c r="C350" s="44">
        <v>7848.02</v>
      </c>
      <c r="E350" s="50">
        <v>0</v>
      </c>
      <c r="F350" s="50">
        <v>0</v>
      </c>
      <c r="G350" s="64">
        <f t="shared" ref="G350:G367" si="43">+E350*C350</f>
        <v>0</v>
      </c>
      <c r="H350" s="64">
        <f t="shared" ref="H350:H367" si="44">+F350*C350</f>
        <v>0</v>
      </c>
    </row>
    <row r="351" spans="2:8" hidden="1" outlineLevel="2" x14ac:dyDescent="0.25">
      <c r="B351" s="1" t="s">
        <v>319</v>
      </c>
      <c r="C351" s="44">
        <v>9347.3799999999992</v>
      </c>
      <c r="E351" s="50">
        <v>0</v>
      </c>
      <c r="F351" s="50">
        <v>0</v>
      </c>
      <c r="G351" s="64">
        <f t="shared" si="43"/>
        <v>0</v>
      </c>
      <c r="H351" s="64">
        <f t="shared" si="44"/>
        <v>0</v>
      </c>
    </row>
    <row r="352" spans="2:8" hidden="1" outlineLevel="2" x14ac:dyDescent="0.25">
      <c r="B352" s="1" t="s">
        <v>320</v>
      </c>
      <c r="C352" s="44">
        <v>2564.4</v>
      </c>
      <c r="E352" s="50">
        <v>0</v>
      </c>
      <c r="F352" s="50">
        <v>0</v>
      </c>
      <c r="G352" s="64">
        <f t="shared" si="43"/>
        <v>0</v>
      </c>
      <c r="H352" s="64">
        <f t="shared" si="44"/>
        <v>0</v>
      </c>
    </row>
    <row r="353" spans="2:8" hidden="1" outlineLevel="2" x14ac:dyDescent="0.25">
      <c r="B353" s="1" t="s">
        <v>321</v>
      </c>
      <c r="C353" s="44">
        <v>1710.04</v>
      </c>
      <c r="E353" s="50">
        <v>0</v>
      </c>
      <c r="F353" s="50">
        <v>0</v>
      </c>
      <c r="G353" s="64">
        <f t="shared" si="43"/>
        <v>0</v>
      </c>
      <c r="H353" s="64">
        <f t="shared" si="44"/>
        <v>0</v>
      </c>
    </row>
    <row r="354" spans="2:8" hidden="1" outlineLevel="2" x14ac:dyDescent="0.25">
      <c r="B354" s="1" t="s">
        <v>322</v>
      </c>
      <c r="C354" s="44">
        <v>872.84</v>
      </c>
      <c r="E354" s="50">
        <v>0</v>
      </c>
      <c r="F354" s="50">
        <v>0</v>
      </c>
      <c r="G354" s="64">
        <f t="shared" si="43"/>
        <v>0</v>
      </c>
      <c r="H354" s="64">
        <f t="shared" si="44"/>
        <v>0</v>
      </c>
    </row>
    <row r="355" spans="2:8" hidden="1" outlineLevel="2" x14ac:dyDescent="0.25">
      <c r="B355" s="1" t="s">
        <v>323</v>
      </c>
      <c r="C355" s="44">
        <v>463.16</v>
      </c>
      <c r="E355" s="50">
        <v>0</v>
      </c>
      <c r="F355" s="50">
        <v>0</v>
      </c>
      <c r="G355" s="64">
        <f t="shared" si="43"/>
        <v>0</v>
      </c>
      <c r="H355" s="64">
        <f t="shared" si="44"/>
        <v>0</v>
      </c>
    </row>
    <row r="356" spans="2:8" hidden="1" outlineLevel="2" x14ac:dyDescent="0.25">
      <c r="B356" s="1" t="s">
        <v>324</v>
      </c>
      <c r="C356" s="44">
        <v>1923.92</v>
      </c>
      <c r="E356" s="50">
        <v>0</v>
      </c>
      <c r="F356" s="50">
        <v>0</v>
      </c>
      <c r="G356" s="64">
        <f t="shared" si="43"/>
        <v>0</v>
      </c>
      <c r="H356" s="64">
        <f t="shared" si="44"/>
        <v>0</v>
      </c>
    </row>
    <row r="357" spans="2:8" hidden="1" outlineLevel="2" x14ac:dyDescent="0.25">
      <c r="B357" s="1" t="s">
        <v>325</v>
      </c>
      <c r="C357" s="44">
        <v>1683.57</v>
      </c>
      <c r="E357" s="50">
        <v>0</v>
      </c>
      <c r="F357" s="50">
        <v>0</v>
      </c>
      <c r="G357" s="64">
        <f t="shared" si="43"/>
        <v>0</v>
      </c>
      <c r="H357" s="64">
        <f t="shared" si="44"/>
        <v>0</v>
      </c>
    </row>
    <row r="358" spans="2:8" hidden="1" outlineLevel="2" x14ac:dyDescent="0.25">
      <c r="B358" s="1" t="s">
        <v>155</v>
      </c>
      <c r="C358" s="44">
        <v>3634.5</v>
      </c>
      <c r="E358" s="50">
        <v>0</v>
      </c>
      <c r="F358" s="50">
        <v>0</v>
      </c>
      <c r="G358" s="64">
        <f t="shared" si="43"/>
        <v>0</v>
      </c>
      <c r="H358" s="64">
        <f t="shared" si="44"/>
        <v>0</v>
      </c>
    </row>
    <row r="359" spans="2:8" hidden="1" outlineLevel="2" x14ac:dyDescent="0.25">
      <c r="B359" s="1" t="s">
        <v>326</v>
      </c>
      <c r="C359" s="44">
        <v>4115.76</v>
      </c>
      <c r="E359" s="50">
        <v>0</v>
      </c>
      <c r="F359" s="50">
        <v>0</v>
      </c>
      <c r="G359" s="64">
        <f t="shared" si="43"/>
        <v>0</v>
      </c>
      <c r="H359" s="64">
        <f t="shared" si="44"/>
        <v>0</v>
      </c>
    </row>
    <row r="360" spans="2:8" hidden="1" outlineLevel="2" x14ac:dyDescent="0.25">
      <c r="B360" s="1" t="s">
        <v>327</v>
      </c>
      <c r="C360" s="44">
        <v>6948.8</v>
      </c>
      <c r="E360" s="50">
        <v>0</v>
      </c>
      <c r="F360" s="50">
        <v>0</v>
      </c>
      <c r="G360" s="64">
        <f t="shared" si="43"/>
        <v>0</v>
      </c>
      <c r="H360" s="64">
        <f t="shared" si="44"/>
        <v>0</v>
      </c>
    </row>
    <row r="361" spans="2:8" hidden="1" outlineLevel="2" x14ac:dyDescent="0.25">
      <c r="B361" s="1" t="s">
        <v>328</v>
      </c>
      <c r="C361" s="44">
        <v>7983.2</v>
      </c>
      <c r="E361" s="50">
        <v>0</v>
      </c>
      <c r="F361" s="50">
        <v>0</v>
      </c>
      <c r="G361" s="64">
        <f t="shared" si="43"/>
        <v>0</v>
      </c>
      <c r="H361" s="64">
        <f t="shared" si="44"/>
        <v>0</v>
      </c>
    </row>
    <row r="362" spans="2:8" hidden="1" outlineLevel="2" x14ac:dyDescent="0.25">
      <c r="B362" s="1" t="s">
        <v>160</v>
      </c>
      <c r="C362" s="44">
        <v>17107.439999999999</v>
      </c>
      <c r="E362" s="50">
        <v>0</v>
      </c>
      <c r="F362" s="50">
        <v>0</v>
      </c>
      <c r="G362" s="64">
        <f t="shared" si="43"/>
        <v>0</v>
      </c>
      <c r="H362" s="64">
        <f t="shared" si="44"/>
        <v>0</v>
      </c>
    </row>
    <row r="363" spans="2:8" hidden="1" outlineLevel="2" x14ac:dyDescent="0.25">
      <c r="B363" s="1" t="s">
        <v>139</v>
      </c>
      <c r="C363" s="44">
        <v>3974.1</v>
      </c>
      <c r="E363" s="50">
        <v>0</v>
      </c>
      <c r="F363" s="50">
        <v>0</v>
      </c>
      <c r="G363" s="64">
        <f t="shared" si="43"/>
        <v>0</v>
      </c>
      <c r="H363" s="64">
        <f t="shared" si="44"/>
        <v>0</v>
      </c>
    </row>
    <row r="364" spans="2:8" hidden="1" outlineLevel="2" x14ac:dyDescent="0.25">
      <c r="B364" s="1" t="s">
        <v>161</v>
      </c>
      <c r="C364" s="44">
        <v>27590.82</v>
      </c>
      <c r="E364" s="50">
        <v>0</v>
      </c>
      <c r="F364" s="50">
        <v>0</v>
      </c>
      <c r="G364" s="64">
        <f t="shared" si="43"/>
        <v>0</v>
      </c>
      <c r="H364" s="64">
        <f t="shared" si="44"/>
        <v>0</v>
      </c>
    </row>
    <row r="365" spans="2:8" hidden="1" outlineLevel="2" x14ac:dyDescent="0.25">
      <c r="B365" s="1" t="s">
        <v>105</v>
      </c>
      <c r="C365" s="44">
        <v>2488.67</v>
      </c>
      <c r="E365" s="50">
        <v>0</v>
      </c>
      <c r="F365" s="50">
        <v>0</v>
      </c>
      <c r="G365" s="64">
        <f t="shared" si="43"/>
        <v>0</v>
      </c>
      <c r="H365" s="64">
        <f t="shared" si="44"/>
        <v>0</v>
      </c>
    </row>
    <row r="366" spans="2:8" hidden="1" outlineLevel="2" x14ac:dyDescent="0.25">
      <c r="B366" s="1" t="s">
        <v>140</v>
      </c>
      <c r="C366" s="44">
        <v>24031.53</v>
      </c>
      <c r="E366" s="50">
        <v>0</v>
      </c>
      <c r="F366" s="50">
        <v>0</v>
      </c>
      <c r="G366" s="64">
        <f t="shared" si="43"/>
        <v>0</v>
      </c>
      <c r="H366" s="64">
        <f t="shared" si="44"/>
        <v>0</v>
      </c>
    </row>
    <row r="367" spans="2:8" hidden="1" outlineLevel="2" x14ac:dyDescent="0.25">
      <c r="B367" s="1" t="s">
        <v>162</v>
      </c>
      <c r="C367" s="44">
        <v>2196.6999999999998</v>
      </c>
      <c r="E367" s="50">
        <v>0</v>
      </c>
      <c r="F367" s="50">
        <v>0</v>
      </c>
      <c r="G367" s="64">
        <f t="shared" si="43"/>
        <v>0</v>
      </c>
      <c r="H367" s="64">
        <f t="shared" si="44"/>
        <v>0</v>
      </c>
    </row>
    <row r="368" spans="2:8" outlineLevel="1" collapsed="1" x14ac:dyDescent="0.25">
      <c r="B368" s="60" t="s">
        <v>163</v>
      </c>
      <c r="C368" s="61">
        <v>90820.99</v>
      </c>
      <c r="E368" s="62"/>
      <c r="F368" s="62"/>
      <c r="G368" s="63"/>
      <c r="H368" s="63"/>
    </row>
    <row r="369" spans="2:8" hidden="1" outlineLevel="2" x14ac:dyDescent="0.25">
      <c r="B369" s="1" t="s">
        <v>112</v>
      </c>
      <c r="C369" s="44">
        <v>4464.6000000000004</v>
      </c>
      <c r="E369" s="50">
        <v>0</v>
      </c>
      <c r="F369" s="50">
        <v>0</v>
      </c>
      <c r="G369" s="64">
        <f t="shared" ref="G369:G376" si="45">+E369*C369</f>
        <v>0</v>
      </c>
      <c r="H369" s="64">
        <f t="shared" ref="H369:H376" si="46">+F369*C369</f>
        <v>0</v>
      </c>
    </row>
    <row r="370" spans="2:8" hidden="1" outlineLevel="2" x14ac:dyDescent="0.25">
      <c r="B370" s="1" t="s">
        <v>164</v>
      </c>
      <c r="C370" s="44">
        <v>14239.78</v>
      </c>
      <c r="E370" s="50">
        <v>0</v>
      </c>
      <c r="F370" s="50">
        <v>0</v>
      </c>
      <c r="G370" s="64">
        <f t="shared" si="45"/>
        <v>0</v>
      </c>
      <c r="H370" s="64">
        <f t="shared" si="46"/>
        <v>0</v>
      </c>
    </row>
    <row r="371" spans="2:8" hidden="1" outlineLevel="2" x14ac:dyDescent="0.25">
      <c r="B371" s="1" t="s">
        <v>329</v>
      </c>
      <c r="C371" s="44">
        <v>20649.03</v>
      </c>
      <c r="E371" s="50">
        <v>0</v>
      </c>
      <c r="F371" s="50">
        <v>0</v>
      </c>
      <c r="G371" s="64">
        <f t="shared" si="45"/>
        <v>0</v>
      </c>
      <c r="H371" s="64">
        <f t="shared" si="46"/>
        <v>0</v>
      </c>
    </row>
    <row r="372" spans="2:8" hidden="1" outlineLevel="2" x14ac:dyDescent="0.25">
      <c r="B372" s="1" t="s">
        <v>166</v>
      </c>
      <c r="C372" s="44">
        <v>4296.96</v>
      </c>
      <c r="E372" s="50">
        <v>0</v>
      </c>
      <c r="F372" s="50">
        <v>0</v>
      </c>
      <c r="G372" s="64">
        <f t="shared" si="45"/>
        <v>0</v>
      </c>
      <c r="H372" s="64">
        <f t="shared" si="46"/>
        <v>0</v>
      </c>
    </row>
    <row r="373" spans="2:8" hidden="1" outlineLevel="2" x14ac:dyDescent="0.25">
      <c r="B373" s="1" t="s">
        <v>330</v>
      </c>
      <c r="C373" s="44">
        <v>2318.3200000000002</v>
      </c>
      <c r="E373" s="50">
        <v>0</v>
      </c>
      <c r="F373" s="50">
        <v>0</v>
      </c>
      <c r="G373" s="64">
        <f t="shared" si="45"/>
        <v>0</v>
      </c>
      <c r="H373" s="64">
        <f t="shared" si="46"/>
        <v>0</v>
      </c>
    </row>
    <row r="374" spans="2:8" hidden="1" outlineLevel="2" x14ac:dyDescent="0.25">
      <c r="B374" s="1" t="s">
        <v>167</v>
      </c>
      <c r="C374" s="44">
        <v>5749.92</v>
      </c>
      <c r="E374" s="50">
        <v>0</v>
      </c>
      <c r="F374" s="50">
        <v>0</v>
      </c>
      <c r="G374" s="64">
        <f t="shared" si="45"/>
        <v>0</v>
      </c>
      <c r="H374" s="64">
        <f t="shared" si="46"/>
        <v>0</v>
      </c>
    </row>
    <row r="375" spans="2:8" hidden="1" outlineLevel="2" x14ac:dyDescent="0.25">
      <c r="B375" s="1" t="s">
        <v>331</v>
      </c>
      <c r="C375" s="44">
        <v>36613.71</v>
      </c>
      <c r="E375" s="50">
        <v>0</v>
      </c>
      <c r="F375" s="50">
        <v>0</v>
      </c>
      <c r="G375" s="64">
        <f t="shared" si="45"/>
        <v>0</v>
      </c>
      <c r="H375" s="64">
        <f t="shared" si="46"/>
        <v>0</v>
      </c>
    </row>
    <row r="376" spans="2:8" hidden="1" outlineLevel="2" x14ac:dyDescent="0.25">
      <c r="B376" s="1" t="s">
        <v>105</v>
      </c>
      <c r="C376" s="44">
        <v>2488.67</v>
      </c>
      <c r="E376" s="50">
        <v>0</v>
      </c>
      <c r="F376" s="50">
        <v>0</v>
      </c>
      <c r="G376" s="64">
        <f t="shared" si="45"/>
        <v>0</v>
      </c>
      <c r="H376" s="64">
        <f t="shared" si="46"/>
        <v>0</v>
      </c>
    </row>
    <row r="377" spans="2:8" outlineLevel="1" collapsed="1" x14ac:dyDescent="0.25">
      <c r="B377" s="60" t="s">
        <v>169</v>
      </c>
      <c r="C377" s="61">
        <v>7350.66</v>
      </c>
      <c r="E377" s="62"/>
      <c r="F377" s="62"/>
      <c r="G377" s="63"/>
      <c r="H377" s="63"/>
    </row>
    <row r="378" spans="2:8" hidden="1" outlineLevel="2" x14ac:dyDescent="0.25">
      <c r="B378" s="1" t="s">
        <v>170</v>
      </c>
      <c r="C378" s="44">
        <v>5509.8</v>
      </c>
      <c r="E378" s="50">
        <v>0</v>
      </c>
      <c r="F378" s="50">
        <v>0</v>
      </c>
      <c r="G378" s="64">
        <f>+E378*C378</f>
        <v>0</v>
      </c>
      <c r="H378" s="64">
        <f>+F378*C378</f>
        <v>0</v>
      </c>
    </row>
    <row r="379" spans="2:8" hidden="1" outlineLevel="2" x14ac:dyDescent="0.25">
      <c r="B379" s="1" t="s">
        <v>171</v>
      </c>
      <c r="C379" s="44">
        <v>1840.86</v>
      </c>
      <c r="E379" s="50">
        <v>0</v>
      </c>
      <c r="F379" s="50">
        <v>0</v>
      </c>
      <c r="G379" s="64">
        <f>+E379*C379</f>
        <v>0</v>
      </c>
      <c r="H379" s="64">
        <f>+F379*C379</f>
        <v>0</v>
      </c>
    </row>
    <row r="380" spans="2:8" outlineLevel="1" collapsed="1" x14ac:dyDescent="0.25">
      <c r="B380" s="60" t="s">
        <v>172</v>
      </c>
      <c r="C380" s="61">
        <v>25050.720000000001</v>
      </c>
      <c r="E380" s="62"/>
      <c r="F380" s="62"/>
      <c r="G380" s="63"/>
      <c r="H380" s="63"/>
    </row>
    <row r="381" spans="2:8" hidden="1" outlineLevel="2" x14ac:dyDescent="0.25">
      <c r="B381" s="1" t="s">
        <v>173</v>
      </c>
      <c r="C381" s="44">
        <v>3716.95</v>
      </c>
      <c r="E381" s="50">
        <v>0</v>
      </c>
      <c r="F381" s="50">
        <v>0</v>
      </c>
      <c r="G381" s="64">
        <f>+E381*C381</f>
        <v>0</v>
      </c>
      <c r="H381" s="64">
        <f>+F381*C381</f>
        <v>0</v>
      </c>
    </row>
    <row r="382" spans="2:8" hidden="1" outlineLevel="2" x14ac:dyDescent="0.25">
      <c r="B382" s="1" t="s">
        <v>174</v>
      </c>
      <c r="C382" s="44">
        <v>21333.77</v>
      </c>
      <c r="E382" s="50">
        <v>0</v>
      </c>
      <c r="F382" s="50">
        <v>0</v>
      </c>
      <c r="G382" s="64">
        <f>+E382*C382</f>
        <v>0</v>
      </c>
      <c r="H382" s="64">
        <f>+F382*C382</f>
        <v>0</v>
      </c>
    </row>
    <row r="383" spans="2:8" outlineLevel="1" collapsed="1" x14ac:dyDescent="0.25">
      <c r="B383" s="60" t="s">
        <v>175</v>
      </c>
      <c r="C383" s="61">
        <v>188894.05</v>
      </c>
      <c r="E383" s="62"/>
      <c r="F383" s="62"/>
      <c r="G383" s="63"/>
      <c r="H383" s="63"/>
    </row>
    <row r="384" spans="2:8" hidden="1" outlineLevel="2" x14ac:dyDescent="0.25">
      <c r="B384" s="1" t="s">
        <v>176</v>
      </c>
      <c r="C384" s="44">
        <v>2170.59</v>
      </c>
      <c r="E384" s="50">
        <v>0</v>
      </c>
      <c r="F384" s="50">
        <v>0</v>
      </c>
      <c r="G384" s="64">
        <f t="shared" ref="G384:G409" si="47">+E384*C384</f>
        <v>0</v>
      </c>
      <c r="H384" s="64">
        <f t="shared" ref="H384:H409" si="48">+F384*C384</f>
        <v>0</v>
      </c>
    </row>
    <row r="385" spans="2:8" hidden="1" outlineLevel="2" x14ac:dyDescent="0.25">
      <c r="B385" s="1" t="s">
        <v>332</v>
      </c>
      <c r="C385" s="44">
        <v>0</v>
      </c>
      <c r="E385" s="50">
        <v>0</v>
      </c>
      <c r="F385" s="50">
        <v>0</v>
      </c>
      <c r="G385" s="64">
        <f t="shared" si="47"/>
        <v>0</v>
      </c>
      <c r="H385" s="64">
        <f t="shared" si="48"/>
        <v>0</v>
      </c>
    </row>
    <row r="386" spans="2:8" hidden="1" outlineLevel="2" x14ac:dyDescent="0.25">
      <c r="B386" s="1" t="s">
        <v>333</v>
      </c>
      <c r="C386" s="44">
        <v>9159.15</v>
      </c>
      <c r="E386" s="50">
        <v>0</v>
      </c>
      <c r="F386" s="50">
        <v>0</v>
      </c>
      <c r="G386" s="64">
        <f t="shared" si="47"/>
        <v>0</v>
      </c>
      <c r="H386" s="64">
        <f t="shared" si="48"/>
        <v>0</v>
      </c>
    </row>
    <row r="387" spans="2:8" hidden="1" outlineLevel="2" x14ac:dyDescent="0.25">
      <c r="B387" s="1" t="s">
        <v>334</v>
      </c>
      <c r="C387" s="44">
        <v>6332.5</v>
      </c>
      <c r="E387" s="50">
        <v>0</v>
      </c>
      <c r="F387" s="50">
        <v>0</v>
      </c>
      <c r="G387" s="64">
        <f t="shared" si="47"/>
        <v>0</v>
      </c>
      <c r="H387" s="64">
        <f t="shared" si="48"/>
        <v>0</v>
      </c>
    </row>
    <row r="388" spans="2:8" hidden="1" outlineLevel="2" x14ac:dyDescent="0.25">
      <c r="B388" s="1" t="s">
        <v>335</v>
      </c>
      <c r="C388" s="44">
        <v>1656.86</v>
      </c>
      <c r="E388" s="50">
        <v>0</v>
      </c>
      <c r="F388" s="50">
        <v>0</v>
      </c>
      <c r="G388" s="64">
        <f t="shared" si="47"/>
        <v>0</v>
      </c>
      <c r="H388" s="64">
        <f t="shared" si="48"/>
        <v>0</v>
      </c>
    </row>
    <row r="389" spans="2:8" hidden="1" outlineLevel="2" x14ac:dyDescent="0.25">
      <c r="B389" s="1" t="s">
        <v>336</v>
      </c>
      <c r="C389" s="44">
        <v>261.52999999999997</v>
      </c>
      <c r="E389" s="50">
        <v>0</v>
      </c>
      <c r="F389" s="50">
        <v>0</v>
      </c>
      <c r="G389" s="64">
        <f t="shared" si="47"/>
        <v>0</v>
      </c>
      <c r="H389" s="64">
        <f t="shared" si="48"/>
        <v>0</v>
      </c>
    </row>
    <row r="390" spans="2:8" hidden="1" outlineLevel="2" x14ac:dyDescent="0.25">
      <c r="B390" s="1" t="s">
        <v>337</v>
      </c>
      <c r="C390" s="44">
        <v>1615.32</v>
      </c>
      <c r="E390" s="50">
        <v>0</v>
      </c>
      <c r="F390" s="50">
        <v>0</v>
      </c>
      <c r="G390" s="64">
        <f t="shared" si="47"/>
        <v>0</v>
      </c>
      <c r="H390" s="64">
        <f t="shared" si="48"/>
        <v>0</v>
      </c>
    </row>
    <row r="391" spans="2:8" hidden="1" outlineLevel="2" x14ac:dyDescent="0.25">
      <c r="B391" s="1" t="s">
        <v>177</v>
      </c>
      <c r="C391" s="44">
        <v>3892.35</v>
      </c>
      <c r="E391" s="50">
        <v>0</v>
      </c>
      <c r="F391" s="50">
        <v>0</v>
      </c>
      <c r="G391" s="64">
        <f t="shared" si="47"/>
        <v>0</v>
      </c>
      <c r="H391" s="64">
        <f t="shared" si="48"/>
        <v>0</v>
      </c>
    </row>
    <row r="392" spans="2:8" hidden="1" outlineLevel="2" x14ac:dyDescent="0.25">
      <c r="B392" s="1" t="s">
        <v>178</v>
      </c>
      <c r="C392" s="44">
        <v>103.26</v>
      </c>
      <c r="E392" s="50">
        <v>0</v>
      </c>
      <c r="F392" s="50">
        <v>0</v>
      </c>
      <c r="G392" s="64">
        <f t="shared" si="47"/>
        <v>0</v>
      </c>
      <c r="H392" s="64">
        <f t="shared" si="48"/>
        <v>0</v>
      </c>
    </row>
    <row r="393" spans="2:8" hidden="1" outlineLevel="2" x14ac:dyDescent="0.25">
      <c r="B393" s="1" t="s">
        <v>179</v>
      </c>
      <c r="C393" s="44">
        <v>2300.16</v>
      </c>
      <c r="E393" s="50">
        <v>0</v>
      </c>
      <c r="F393" s="50">
        <v>0</v>
      </c>
      <c r="G393" s="64">
        <f t="shared" si="47"/>
        <v>0</v>
      </c>
      <c r="H393" s="64">
        <f t="shared" si="48"/>
        <v>0</v>
      </c>
    </row>
    <row r="394" spans="2:8" hidden="1" outlineLevel="2" x14ac:dyDescent="0.25">
      <c r="B394" s="1" t="s">
        <v>180</v>
      </c>
      <c r="C394" s="44">
        <v>697.01</v>
      </c>
      <c r="E394" s="50">
        <v>0</v>
      </c>
      <c r="F394" s="50">
        <v>0</v>
      </c>
      <c r="G394" s="64">
        <f t="shared" si="47"/>
        <v>0</v>
      </c>
      <c r="H394" s="64">
        <f t="shared" si="48"/>
        <v>0</v>
      </c>
    </row>
    <row r="395" spans="2:8" hidden="1" outlineLevel="2" x14ac:dyDescent="0.25">
      <c r="B395" s="1" t="s">
        <v>95</v>
      </c>
      <c r="C395" s="44">
        <v>574.99</v>
      </c>
      <c r="E395" s="50">
        <v>0</v>
      </c>
      <c r="F395" s="50">
        <v>0</v>
      </c>
      <c r="G395" s="64">
        <f t="shared" si="47"/>
        <v>0</v>
      </c>
      <c r="H395" s="64">
        <f t="shared" si="48"/>
        <v>0</v>
      </c>
    </row>
    <row r="396" spans="2:8" hidden="1" outlineLevel="2" x14ac:dyDescent="0.25">
      <c r="B396" s="1" t="s">
        <v>181</v>
      </c>
      <c r="C396" s="44">
        <v>4001.07</v>
      </c>
      <c r="E396" s="50">
        <v>0</v>
      </c>
      <c r="F396" s="50">
        <v>0</v>
      </c>
      <c r="G396" s="64">
        <f t="shared" si="47"/>
        <v>0</v>
      </c>
      <c r="H396" s="64">
        <f t="shared" si="48"/>
        <v>0</v>
      </c>
    </row>
    <row r="397" spans="2:8" hidden="1" outlineLevel="2" x14ac:dyDescent="0.25">
      <c r="B397" s="1" t="s">
        <v>182</v>
      </c>
      <c r="C397" s="44">
        <v>582.16999999999996</v>
      </c>
      <c r="E397" s="50">
        <v>0</v>
      </c>
      <c r="F397" s="50">
        <v>0</v>
      </c>
      <c r="G397" s="64">
        <f t="shared" si="47"/>
        <v>0</v>
      </c>
      <c r="H397" s="64">
        <f t="shared" si="48"/>
        <v>0</v>
      </c>
    </row>
    <row r="398" spans="2:8" hidden="1" outlineLevel="2" x14ac:dyDescent="0.25">
      <c r="B398" s="1" t="s">
        <v>98</v>
      </c>
      <c r="C398" s="44">
        <v>574.99</v>
      </c>
      <c r="E398" s="50">
        <v>0</v>
      </c>
      <c r="F398" s="50">
        <v>0</v>
      </c>
      <c r="G398" s="64">
        <f t="shared" si="47"/>
        <v>0</v>
      </c>
      <c r="H398" s="64">
        <f t="shared" si="48"/>
        <v>0</v>
      </c>
    </row>
    <row r="399" spans="2:8" hidden="1" outlineLevel="2" x14ac:dyDescent="0.25">
      <c r="B399" s="1" t="s">
        <v>183</v>
      </c>
      <c r="C399" s="44">
        <v>5038.08</v>
      </c>
      <c r="E399" s="50">
        <v>0</v>
      </c>
      <c r="F399" s="50">
        <v>0</v>
      </c>
      <c r="G399" s="64">
        <f t="shared" si="47"/>
        <v>0</v>
      </c>
      <c r="H399" s="64">
        <f t="shared" si="48"/>
        <v>0</v>
      </c>
    </row>
    <row r="400" spans="2:8" hidden="1" outlineLevel="2" x14ac:dyDescent="0.25">
      <c r="B400" s="1" t="s">
        <v>184</v>
      </c>
      <c r="C400" s="44">
        <v>19232.099999999999</v>
      </c>
      <c r="E400" s="50">
        <v>0</v>
      </c>
      <c r="F400" s="50">
        <v>0</v>
      </c>
      <c r="G400" s="64">
        <f t="shared" si="47"/>
        <v>0</v>
      </c>
      <c r="H400" s="64">
        <f t="shared" si="48"/>
        <v>0</v>
      </c>
    </row>
    <row r="401" spans="2:8" hidden="1" outlineLevel="2" x14ac:dyDescent="0.25">
      <c r="B401" s="1" t="s">
        <v>105</v>
      </c>
      <c r="C401" s="44">
        <v>961.86</v>
      </c>
      <c r="E401" s="50">
        <v>0</v>
      </c>
      <c r="F401" s="50">
        <v>0</v>
      </c>
      <c r="G401" s="64">
        <f t="shared" si="47"/>
        <v>0</v>
      </c>
      <c r="H401" s="64">
        <f t="shared" si="48"/>
        <v>0</v>
      </c>
    </row>
    <row r="402" spans="2:8" hidden="1" outlineLevel="2" x14ac:dyDescent="0.25">
      <c r="B402" s="1" t="s">
        <v>185</v>
      </c>
      <c r="C402" s="44">
        <v>34476.089999999997</v>
      </c>
      <c r="E402" s="50">
        <v>0</v>
      </c>
      <c r="F402" s="50">
        <v>0</v>
      </c>
      <c r="G402" s="64">
        <f t="shared" si="47"/>
        <v>0</v>
      </c>
      <c r="H402" s="64">
        <f t="shared" si="48"/>
        <v>0</v>
      </c>
    </row>
    <row r="403" spans="2:8" hidden="1" outlineLevel="2" x14ac:dyDescent="0.25">
      <c r="B403" s="1" t="s">
        <v>186</v>
      </c>
      <c r="C403" s="44">
        <v>7984.25</v>
      </c>
      <c r="E403" s="50">
        <v>0</v>
      </c>
      <c r="F403" s="50">
        <v>0</v>
      </c>
      <c r="G403" s="64">
        <f t="shared" si="47"/>
        <v>0</v>
      </c>
      <c r="H403" s="64">
        <f t="shared" si="48"/>
        <v>0</v>
      </c>
    </row>
    <row r="404" spans="2:8" hidden="1" outlineLevel="2" x14ac:dyDescent="0.25">
      <c r="B404" s="1" t="s">
        <v>105</v>
      </c>
      <c r="C404" s="44">
        <v>399.32</v>
      </c>
      <c r="E404" s="50">
        <v>0</v>
      </c>
      <c r="F404" s="50">
        <v>0</v>
      </c>
      <c r="G404" s="64">
        <f t="shared" si="47"/>
        <v>0</v>
      </c>
      <c r="H404" s="64">
        <f t="shared" si="48"/>
        <v>0</v>
      </c>
    </row>
    <row r="405" spans="2:8" hidden="1" outlineLevel="2" x14ac:dyDescent="0.25">
      <c r="B405" s="1" t="s">
        <v>187</v>
      </c>
      <c r="C405" s="44">
        <v>742.91</v>
      </c>
      <c r="E405" s="50">
        <v>0</v>
      </c>
      <c r="F405" s="50">
        <v>0</v>
      </c>
      <c r="G405" s="64">
        <f t="shared" si="47"/>
        <v>0</v>
      </c>
      <c r="H405" s="64">
        <f t="shared" si="48"/>
        <v>0</v>
      </c>
    </row>
    <row r="406" spans="2:8" hidden="1" outlineLevel="2" x14ac:dyDescent="0.25">
      <c r="B406" s="1" t="s">
        <v>188</v>
      </c>
      <c r="C406" s="44">
        <v>9692.98</v>
      </c>
      <c r="E406" s="50">
        <v>0</v>
      </c>
      <c r="F406" s="50">
        <v>0</v>
      </c>
      <c r="G406" s="64">
        <f t="shared" si="47"/>
        <v>0</v>
      </c>
      <c r="H406" s="64">
        <f t="shared" si="48"/>
        <v>0</v>
      </c>
    </row>
    <row r="407" spans="2:8" hidden="1" outlineLevel="2" x14ac:dyDescent="0.25">
      <c r="B407" s="1" t="s">
        <v>338</v>
      </c>
      <c r="C407" s="44">
        <v>29626.57</v>
      </c>
      <c r="E407" s="50">
        <v>0</v>
      </c>
      <c r="F407" s="50">
        <v>0</v>
      </c>
      <c r="G407" s="64">
        <f t="shared" si="47"/>
        <v>0</v>
      </c>
      <c r="H407" s="64">
        <f t="shared" si="48"/>
        <v>0</v>
      </c>
    </row>
    <row r="408" spans="2:8" hidden="1" outlineLevel="2" x14ac:dyDescent="0.25">
      <c r="B408" s="1" t="s">
        <v>339</v>
      </c>
      <c r="C408" s="44">
        <v>33171.08</v>
      </c>
      <c r="E408" s="50">
        <v>0</v>
      </c>
      <c r="F408" s="50">
        <v>0</v>
      </c>
      <c r="G408" s="64">
        <f t="shared" si="47"/>
        <v>0</v>
      </c>
      <c r="H408" s="64">
        <f t="shared" si="48"/>
        <v>0</v>
      </c>
    </row>
    <row r="409" spans="2:8" hidden="1" outlineLevel="2" x14ac:dyDescent="0.25">
      <c r="B409" s="1" t="s">
        <v>340</v>
      </c>
      <c r="C409" s="44">
        <v>13646.86</v>
      </c>
      <c r="E409" s="50">
        <v>0</v>
      </c>
      <c r="F409" s="50">
        <v>0</v>
      </c>
      <c r="G409" s="64">
        <f t="shared" si="47"/>
        <v>0</v>
      </c>
      <c r="H409" s="64">
        <f t="shared" si="48"/>
        <v>0</v>
      </c>
    </row>
    <row r="410" spans="2:8" outlineLevel="1" collapsed="1" x14ac:dyDescent="0.25">
      <c r="B410" s="60" t="s">
        <v>190</v>
      </c>
      <c r="C410" s="61">
        <v>166532.97</v>
      </c>
      <c r="E410" s="62"/>
      <c r="F410" s="62"/>
      <c r="G410" s="63"/>
      <c r="H410" s="63"/>
    </row>
    <row r="411" spans="2:8" hidden="1" outlineLevel="2" x14ac:dyDescent="0.25">
      <c r="B411" s="1" t="s">
        <v>191</v>
      </c>
      <c r="C411" s="44">
        <v>64808.09</v>
      </c>
      <c r="E411" s="50">
        <v>0</v>
      </c>
      <c r="F411" s="50">
        <v>0</v>
      </c>
      <c r="G411" s="64">
        <f t="shared" ref="G411:G418" si="49">+E411*C411</f>
        <v>0</v>
      </c>
      <c r="H411" s="64">
        <f t="shared" ref="H411:H418" si="50">+F411*C411</f>
        <v>0</v>
      </c>
    </row>
    <row r="412" spans="2:8" hidden="1" outlineLevel="2" x14ac:dyDescent="0.25">
      <c r="B412" s="1" t="s">
        <v>192</v>
      </c>
      <c r="C412" s="44">
        <v>38790.660000000003</v>
      </c>
      <c r="E412" s="50">
        <v>0</v>
      </c>
      <c r="F412" s="50">
        <v>0</v>
      </c>
      <c r="G412" s="64">
        <f t="shared" si="49"/>
        <v>0</v>
      </c>
      <c r="H412" s="64">
        <f t="shared" si="50"/>
        <v>0</v>
      </c>
    </row>
    <row r="413" spans="2:8" hidden="1" outlineLevel="2" x14ac:dyDescent="0.25">
      <c r="B413" s="1" t="s">
        <v>193</v>
      </c>
      <c r="C413" s="44">
        <v>22861.3</v>
      </c>
      <c r="E413" s="50">
        <v>0</v>
      </c>
      <c r="F413" s="50">
        <v>0</v>
      </c>
      <c r="G413" s="64">
        <f t="shared" si="49"/>
        <v>0</v>
      </c>
      <c r="H413" s="64">
        <f t="shared" si="50"/>
        <v>0</v>
      </c>
    </row>
    <row r="414" spans="2:8" hidden="1" outlineLevel="2" x14ac:dyDescent="0.25">
      <c r="B414" s="1" t="s">
        <v>194</v>
      </c>
      <c r="C414" s="44">
        <v>3311.24</v>
      </c>
      <c r="E414" s="50">
        <v>0</v>
      </c>
      <c r="F414" s="50">
        <v>0</v>
      </c>
      <c r="G414" s="64">
        <f t="shared" si="49"/>
        <v>0</v>
      </c>
      <c r="H414" s="64">
        <f t="shared" si="50"/>
        <v>0</v>
      </c>
    </row>
    <row r="415" spans="2:8" hidden="1" outlineLevel="2" x14ac:dyDescent="0.25">
      <c r="B415" s="1" t="s">
        <v>341</v>
      </c>
      <c r="C415" s="44">
        <v>17500.990000000002</v>
      </c>
      <c r="E415" s="50">
        <v>0</v>
      </c>
      <c r="F415" s="50">
        <v>0</v>
      </c>
      <c r="G415" s="64">
        <f t="shared" si="49"/>
        <v>0</v>
      </c>
      <c r="H415" s="64">
        <f t="shared" si="50"/>
        <v>0</v>
      </c>
    </row>
    <row r="416" spans="2:8" hidden="1" outlineLevel="2" x14ac:dyDescent="0.25">
      <c r="B416" s="1" t="s">
        <v>342</v>
      </c>
      <c r="C416" s="44">
        <v>12951.73</v>
      </c>
      <c r="E416" s="50">
        <v>0</v>
      </c>
      <c r="F416" s="50">
        <v>0</v>
      </c>
      <c r="G416" s="64">
        <f t="shared" si="49"/>
        <v>0</v>
      </c>
      <c r="H416" s="64">
        <f t="shared" si="50"/>
        <v>0</v>
      </c>
    </row>
    <row r="417" spans="2:8" hidden="1" outlineLevel="2" x14ac:dyDescent="0.25">
      <c r="B417" s="1" t="s">
        <v>343</v>
      </c>
      <c r="C417" s="44">
        <v>3589.26</v>
      </c>
      <c r="E417" s="50">
        <v>0</v>
      </c>
      <c r="F417" s="50">
        <v>0</v>
      </c>
      <c r="G417" s="64">
        <f t="shared" si="49"/>
        <v>0</v>
      </c>
      <c r="H417" s="64">
        <f t="shared" si="50"/>
        <v>0</v>
      </c>
    </row>
    <row r="418" spans="2:8" hidden="1" outlineLevel="2" x14ac:dyDescent="0.25">
      <c r="B418" s="1" t="s">
        <v>344</v>
      </c>
      <c r="C418" s="44">
        <v>2719.7</v>
      </c>
      <c r="E418" s="50">
        <v>0</v>
      </c>
      <c r="F418" s="50">
        <v>0</v>
      </c>
      <c r="G418" s="64">
        <f t="shared" si="49"/>
        <v>0</v>
      </c>
      <c r="H418" s="64">
        <f t="shared" si="50"/>
        <v>0</v>
      </c>
    </row>
    <row r="419" spans="2:8" outlineLevel="1" collapsed="1" x14ac:dyDescent="0.25">
      <c r="B419" s="60" t="s">
        <v>195</v>
      </c>
      <c r="C419" s="61">
        <v>211896.68</v>
      </c>
      <c r="E419" s="62"/>
      <c r="F419" s="62"/>
      <c r="G419" s="63"/>
      <c r="H419" s="63"/>
    </row>
    <row r="420" spans="2:8" hidden="1" outlineLevel="2" x14ac:dyDescent="0.25">
      <c r="B420" s="1" t="s">
        <v>196</v>
      </c>
      <c r="C420" s="44">
        <v>101452.75</v>
      </c>
      <c r="E420" s="50">
        <v>0</v>
      </c>
      <c r="F420" s="50">
        <v>0</v>
      </c>
      <c r="G420" s="64">
        <f t="shared" ref="G420:G426" si="51">+E420*C420</f>
        <v>0</v>
      </c>
      <c r="H420" s="64">
        <f t="shared" ref="H420:H426" si="52">+F420*C420</f>
        <v>0</v>
      </c>
    </row>
    <row r="421" spans="2:8" hidden="1" outlineLevel="2" x14ac:dyDescent="0.25">
      <c r="B421" s="1" t="s">
        <v>345</v>
      </c>
      <c r="C421" s="44">
        <v>5107.7700000000004</v>
      </c>
      <c r="E421" s="50">
        <v>0</v>
      </c>
      <c r="F421" s="50">
        <v>0</v>
      </c>
      <c r="G421" s="64">
        <f t="shared" si="51"/>
        <v>0</v>
      </c>
      <c r="H421" s="64">
        <f t="shared" si="52"/>
        <v>0</v>
      </c>
    </row>
    <row r="422" spans="2:8" hidden="1" outlineLevel="2" x14ac:dyDescent="0.25">
      <c r="B422" s="1" t="s">
        <v>346</v>
      </c>
      <c r="C422" s="44">
        <v>36924.78</v>
      </c>
      <c r="E422" s="50">
        <v>0</v>
      </c>
      <c r="F422" s="50">
        <v>0</v>
      </c>
      <c r="G422" s="64">
        <f t="shared" si="51"/>
        <v>0</v>
      </c>
      <c r="H422" s="64">
        <f t="shared" si="52"/>
        <v>0</v>
      </c>
    </row>
    <row r="423" spans="2:8" hidden="1" outlineLevel="2" x14ac:dyDescent="0.25">
      <c r="B423" s="1" t="s">
        <v>347</v>
      </c>
      <c r="C423" s="44">
        <v>6597.05</v>
      </c>
      <c r="E423" s="50">
        <v>0</v>
      </c>
      <c r="F423" s="50">
        <v>0</v>
      </c>
      <c r="G423" s="64">
        <f t="shared" si="51"/>
        <v>0</v>
      </c>
      <c r="H423" s="64">
        <f t="shared" si="52"/>
        <v>0</v>
      </c>
    </row>
    <row r="424" spans="2:8" hidden="1" outlineLevel="2" x14ac:dyDescent="0.25">
      <c r="B424" s="1" t="s">
        <v>348</v>
      </c>
      <c r="C424" s="44">
        <v>15889.99</v>
      </c>
      <c r="E424" s="50">
        <v>0</v>
      </c>
      <c r="F424" s="50">
        <v>0</v>
      </c>
      <c r="G424" s="64">
        <f t="shared" si="51"/>
        <v>0</v>
      </c>
      <c r="H424" s="64">
        <f t="shared" si="52"/>
        <v>0</v>
      </c>
    </row>
    <row r="425" spans="2:8" hidden="1" outlineLevel="2" x14ac:dyDescent="0.25">
      <c r="B425" s="1" t="s">
        <v>199</v>
      </c>
      <c r="C425" s="44">
        <v>35433.1</v>
      </c>
      <c r="E425" s="50">
        <v>0</v>
      </c>
      <c r="F425" s="50">
        <v>0</v>
      </c>
      <c r="G425" s="64">
        <f t="shared" si="51"/>
        <v>0</v>
      </c>
      <c r="H425" s="64">
        <f t="shared" si="52"/>
        <v>0</v>
      </c>
    </row>
    <row r="426" spans="2:8" hidden="1" outlineLevel="2" x14ac:dyDescent="0.25">
      <c r="B426" s="1" t="s">
        <v>201</v>
      </c>
      <c r="C426" s="44">
        <v>10491.24</v>
      </c>
      <c r="E426" s="50">
        <v>0</v>
      </c>
      <c r="F426" s="50">
        <v>0</v>
      </c>
      <c r="G426" s="64">
        <f t="shared" si="51"/>
        <v>0</v>
      </c>
      <c r="H426" s="64">
        <f t="shared" si="52"/>
        <v>0</v>
      </c>
    </row>
    <row r="427" spans="2:8" outlineLevel="1" collapsed="1" x14ac:dyDescent="0.25">
      <c r="B427" s="60" t="s">
        <v>202</v>
      </c>
      <c r="C427" s="61">
        <v>128336.19</v>
      </c>
      <c r="E427" s="62"/>
      <c r="F427" s="62"/>
      <c r="G427" s="63"/>
      <c r="H427" s="63"/>
    </row>
    <row r="428" spans="2:8" hidden="1" outlineLevel="2" x14ac:dyDescent="0.25">
      <c r="B428" s="1" t="s">
        <v>203</v>
      </c>
      <c r="C428" s="44">
        <v>79508.289999999994</v>
      </c>
      <c r="E428" s="50">
        <v>0</v>
      </c>
      <c r="F428" s="50">
        <v>0</v>
      </c>
      <c r="G428" s="64">
        <f t="shared" ref="G428:G443" si="53">+E428*C428</f>
        <v>0</v>
      </c>
      <c r="H428" s="64">
        <f t="shared" ref="H428:H443" si="54">+F428*C428</f>
        <v>0</v>
      </c>
    </row>
    <row r="429" spans="2:8" hidden="1" outlineLevel="2" x14ac:dyDescent="0.25">
      <c r="B429" s="1" t="s">
        <v>349</v>
      </c>
      <c r="C429" s="44">
        <v>66315.990000000005</v>
      </c>
      <c r="E429" s="50">
        <v>0</v>
      </c>
      <c r="F429" s="50">
        <v>0</v>
      </c>
      <c r="G429" s="64">
        <f t="shared" si="53"/>
        <v>0</v>
      </c>
      <c r="H429" s="64">
        <f t="shared" si="54"/>
        <v>0</v>
      </c>
    </row>
    <row r="430" spans="2:8" hidden="1" outlineLevel="2" x14ac:dyDescent="0.25">
      <c r="B430" s="1" t="s">
        <v>350</v>
      </c>
      <c r="C430" s="44">
        <v>13192.3</v>
      </c>
      <c r="E430" s="50">
        <v>0</v>
      </c>
      <c r="F430" s="50">
        <v>0</v>
      </c>
      <c r="G430" s="64">
        <f t="shared" si="53"/>
        <v>0</v>
      </c>
      <c r="H430" s="64">
        <f t="shared" si="54"/>
        <v>0</v>
      </c>
    </row>
    <row r="431" spans="2:8" hidden="1" outlineLevel="2" x14ac:dyDescent="0.25">
      <c r="B431" s="1" t="s">
        <v>351</v>
      </c>
      <c r="C431" s="44">
        <v>11266.24</v>
      </c>
      <c r="E431" s="50">
        <v>0</v>
      </c>
      <c r="F431" s="50">
        <v>0</v>
      </c>
      <c r="G431" s="64">
        <f t="shared" si="53"/>
        <v>0</v>
      </c>
      <c r="H431" s="64">
        <f t="shared" si="54"/>
        <v>0</v>
      </c>
    </row>
    <row r="432" spans="2:8" hidden="1" outlineLevel="2" x14ac:dyDescent="0.25">
      <c r="B432" s="1" t="s">
        <v>352</v>
      </c>
      <c r="C432" s="44">
        <v>11266.24</v>
      </c>
      <c r="E432" s="50">
        <v>0</v>
      </c>
      <c r="F432" s="50">
        <v>0</v>
      </c>
      <c r="G432" s="64">
        <f t="shared" si="53"/>
        <v>0</v>
      </c>
      <c r="H432" s="64">
        <f t="shared" si="54"/>
        <v>0</v>
      </c>
    </row>
    <row r="433" spans="2:8" hidden="1" outlineLevel="2" x14ac:dyDescent="0.25">
      <c r="B433" s="1" t="s">
        <v>206</v>
      </c>
      <c r="C433" s="44">
        <v>34400.620000000003</v>
      </c>
      <c r="E433" s="50">
        <v>0</v>
      </c>
      <c r="F433" s="50">
        <v>0</v>
      </c>
      <c r="G433" s="64">
        <f t="shared" si="53"/>
        <v>0</v>
      </c>
      <c r="H433" s="64">
        <f t="shared" si="54"/>
        <v>0</v>
      </c>
    </row>
    <row r="434" spans="2:8" hidden="1" outlineLevel="2" x14ac:dyDescent="0.25">
      <c r="B434" s="1" t="s">
        <v>353</v>
      </c>
      <c r="C434" s="44">
        <v>15685.85</v>
      </c>
      <c r="E434" s="50">
        <v>0</v>
      </c>
      <c r="F434" s="50">
        <v>0</v>
      </c>
      <c r="G434" s="64">
        <f t="shared" si="53"/>
        <v>0</v>
      </c>
      <c r="H434" s="64">
        <f t="shared" si="54"/>
        <v>0</v>
      </c>
    </row>
    <row r="435" spans="2:8" hidden="1" outlineLevel="2" x14ac:dyDescent="0.25">
      <c r="B435" s="1" t="s">
        <v>208</v>
      </c>
      <c r="C435" s="44">
        <v>844.6</v>
      </c>
      <c r="E435" s="50">
        <v>0</v>
      </c>
      <c r="F435" s="50">
        <v>0</v>
      </c>
      <c r="G435" s="64">
        <f t="shared" si="53"/>
        <v>0</v>
      </c>
      <c r="H435" s="64">
        <f t="shared" si="54"/>
        <v>0</v>
      </c>
    </row>
    <row r="436" spans="2:8" hidden="1" outlineLevel="2" x14ac:dyDescent="0.25">
      <c r="B436" s="1" t="s">
        <v>354</v>
      </c>
      <c r="C436" s="44">
        <v>2869.85</v>
      </c>
      <c r="E436" s="50">
        <v>0</v>
      </c>
      <c r="F436" s="50">
        <v>0</v>
      </c>
      <c r="G436" s="64">
        <f t="shared" si="53"/>
        <v>0</v>
      </c>
      <c r="H436" s="64">
        <f t="shared" si="54"/>
        <v>0</v>
      </c>
    </row>
    <row r="437" spans="2:8" hidden="1" outlineLevel="2" x14ac:dyDescent="0.25">
      <c r="B437" s="1" t="s">
        <v>350</v>
      </c>
      <c r="C437" s="44">
        <v>3126.61</v>
      </c>
      <c r="E437" s="50">
        <v>0</v>
      </c>
      <c r="F437" s="50">
        <v>0</v>
      </c>
      <c r="G437" s="64">
        <f t="shared" si="53"/>
        <v>0</v>
      </c>
      <c r="H437" s="64">
        <f t="shared" si="54"/>
        <v>0</v>
      </c>
    </row>
    <row r="438" spans="2:8" hidden="1" outlineLevel="2" x14ac:dyDescent="0.25">
      <c r="B438" s="1" t="s">
        <v>349</v>
      </c>
      <c r="C438" s="44">
        <v>6617.83</v>
      </c>
      <c r="E438" s="50">
        <v>0</v>
      </c>
      <c r="F438" s="50">
        <v>0</v>
      </c>
      <c r="G438" s="64">
        <f t="shared" si="53"/>
        <v>0</v>
      </c>
      <c r="H438" s="64">
        <f t="shared" si="54"/>
        <v>0</v>
      </c>
    </row>
    <row r="439" spans="2:8" hidden="1" outlineLevel="2" x14ac:dyDescent="0.25">
      <c r="B439" s="1" t="s">
        <v>210</v>
      </c>
      <c r="C439" s="44">
        <v>2474.7399999999998</v>
      </c>
      <c r="E439" s="50">
        <v>0</v>
      </c>
      <c r="F439" s="50">
        <v>0</v>
      </c>
      <c r="G439" s="64">
        <f t="shared" si="53"/>
        <v>0</v>
      </c>
      <c r="H439" s="64">
        <f t="shared" si="54"/>
        <v>0</v>
      </c>
    </row>
    <row r="440" spans="2:8" hidden="1" outlineLevel="2" x14ac:dyDescent="0.25">
      <c r="B440" s="1" t="s">
        <v>211</v>
      </c>
      <c r="C440" s="44">
        <v>2781.14</v>
      </c>
      <c r="E440" s="50">
        <v>0</v>
      </c>
      <c r="F440" s="50">
        <v>0</v>
      </c>
      <c r="G440" s="64">
        <f t="shared" si="53"/>
        <v>0</v>
      </c>
      <c r="H440" s="64">
        <f t="shared" si="54"/>
        <v>0</v>
      </c>
    </row>
    <row r="441" spans="2:8" hidden="1" outlineLevel="2" x14ac:dyDescent="0.25">
      <c r="B441" s="1" t="s">
        <v>56</v>
      </c>
      <c r="C441" s="44">
        <v>3161.04</v>
      </c>
      <c r="E441" s="50">
        <v>0</v>
      </c>
      <c r="F441" s="50">
        <v>0</v>
      </c>
      <c r="G441" s="64">
        <f t="shared" si="53"/>
        <v>0</v>
      </c>
      <c r="H441" s="64">
        <f t="shared" si="54"/>
        <v>0</v>
      </c>
    </row>
    <row r="442" spans="2:8" hidden="1" outlineLevel="2" x14ac:dyDescent="0.25">
      <c r="B442" s="1" t="s">
        <v>349</v>
      </c>
      <c r="C442" s="44">
        <v>3161.04</v>
      </c>
      <c r="E442" s="50">
        <v>0</v>
      </c>
      <c r="F442" s="50">
        <v>0</v>
      </c>
      <c r="G442" s="64">
        <f t="shared" si="53"/>
        <v>0</v>
      </c>
      <c r="H442" s="64">
        <f t="shared" si="54"/>
        <v>0</v>
      </c>
    </row>
    <row r="443" spans="2:8" hidden="1" outlineLevel="2" x14ac:dyDescent="0.25">
      <c r="B443" s="1" t="s">
        <v>350</v>
      </c>
      <c r="C443" s="44">
        <v>0</v>
      </c>
      <c r="E443" s="50">
        <v>0</v>
      </c>
      <c r="F443" s="50">
        <v>0</v>
      </c>
      <c r="G443" s="64">
        <f t="shared" si="53"/>
        <v>0</v>
      </c>
      <c r="H443" s="64">
        <f t="shared" si="54"/>
        <v>0</v>
      </c>
    </row>
    <row r="444" spans="2:8" outlineLevel="1" collapsed="1" x14ac:dyDescent="0.25">
      <c r="B444" s="60" t="s">
        <v>212</v>
      </c>
      <c r="C444" s="61">
        <v>883.4</v>
      </c>
      <c r="E444" s="62"/>
      <c r="F444" s="62"/>
      <c r="G444" s="63"/>
      <c r="H444" s="63"/>
    </row>
    <row r="445" spans="2:8" hidden="1" outlineLevel="2" x14ac:dyDescent="0.25">
      <c r="B445" s="1" t="s">
        <v>213</v>
      </c>
      <c r="C445" s="44">
        <v>883.4</v>
      </c>
      <c r="E445" s="50">
        <v>0</v>
      </c>
      <c r="F445" s="50">
        <v>0</v>
      </c>
      <c r="G445" s="64">
        <f>+E445*C445</f>
        <v>0</v>
      </c>
      <c r="H445" s="64">
        <f>+F445*C445</f>
        <v>0</v>
      </c>
    </row>
    <row r="446" spans="2:8" outlineLevel="1" collapsed="1" x14ac:dyDescent="0.25">
      <c r="B446" s="60" t="s">
        <v>214</v>
      </c>
      <c r="C446" s="61">
        <v>7349.8</v>
      </c>
      <c r="E446" s="62"/>
      <c r="F446" s="62"/>
      <c r="G446" s="63"/>
      <c r="H446" s="63"/>
    </row>
    <row r="447" spans="2:8" hidden="1" outlineLevel="2" x14ac:dyDescent="0.25">
      <c r="B447" s="1" t="s">
        <v>215</v>
      </c>
      <c r="C447" s="44">
        <v>5509.8</v>
      </c>
      <c r="E447" s="50">
        <v>0</v>
      </c>
      <c r="F447" s="50">
        <v>0</v>
      </c>
      <c r="G447" s="64">
        <f>+E447*C447</f>
        <v>0</v>
      </c>
      <c r="H447" s="64">
        <f>+F447*C447</f>
        <v>0</v>
      </c>
    </row>
    <row r="448" spans="2:8" hidden="1" outlineLevel="2" x14ac:dyDescent="0.25">
      <c r="B448" s="1" t="s">
        <v>216</v>
      </c>
      <c r="C448" s="44">
        <v>1840</v>
      </c>
      <c r="E448" s="50">
        <v>0</v>
      </c>
      <c r="F448" s="50">
        <v>0</v>
      </c>
      <c r="G448" s="64">
        <f>+E448*C448</f>
        <v>0</v>
      </c>
      <c r="H448" s="64">
        <f>+F448*C448</f>
        <v>0</v>
      </c>
    </row>
    <row r="449" spans="2:8" outlineLevel="1" collapsed="1" x14ac:dyDescent="0.25">
      <c r="B449" s="60" t="s">
        <v>217</v>
      </c>
      <c r="C449" s="61">
        <v>154174.9</v>
      </c>
      <c r="E449" s="62"/>
      <c r="F449" s="62"/>
      <c r="G449" s="63"/>
      <c r="H449" s="63"/>
    </row>
    <row r="450" spans="2:8" hidden="1" outlineLevel="2" x14ac:dyDescent="0.25">
      <c r="B450" s="1" t="s">
        <v>355</v>
      </c>
      <c r="C450" s="44">
        <v>21475.95</v>
      </c>
      <c r="E450" s="50">
        <v>0</v>
      </c>
      <c r="F450" s="50">
        <v>0</v>
      </c>
      <c r="G450" s="64">
        <f t="shared" ref="G450:G459" si="55">+E450*C450</f>
        <v>0</v>
      </c>
      <c r="H450" s="64">
        <f t="shared" ref="H450:H459" si="56">+F450*C450</f>
        <v>0</v>
      </c>
    </row>
    <row r="451" spans="2:8" hidden="1" outlineLevel="2" x14ac:dyDescent="0.25">
      <c r="B451" s="1" t="s">
        <v>356</v>
      </c>
      <c r="C451" s="44">
        <v>13840.06</v>
      </c>
      <c r="E451" s="50">
        <v>0</v>
      </c>
      <c r="F451" s="50">
        <v>0</v>
      </c>
      <c r="G451" s="64">
        <f t="shared" si="55"/>
        <v>0</v>
      </c>
      <c r="H451" s="64">
        <f t="shared" si="56"/>
        <v>0</v>
      </c>
    </row>
    <row r="452" spans="2:8" hidden="1" outlineLevel="2" x14ac:dyDescent="0.25">
      <c r="B452" s="1" t="s">
        <v>357</v>
      </c>
      <c r="C452" s="44">
        <v>1145.3800000000001</v>
      </c>
      <c r="E452" s="50">
        <v>0</v>
      </c>
      <c r="F452" s="50">
        <v>0</v>
      </c>
      <c r="G452" s="64">
        <f t="shared" si="55"/>
        <v>0</v>
      </c>
      <c r="H452" s="64">
        <f t="shared" si="56"/>
        <v>0</v>
      </c>
    </row>
    <row r="453" spans="2:8" hidden="1" outlineLevel="2" x14ac:dyDescent="0.25">
      <c r="B453" s="1" t="s">
        <v>358</v>
      </c>
      <c r="C453" s="44">
        <v>3817.95</v>
      </c>
      <c r="E453" s="50">
        <v>0</v>
      </c>
      <c r="F453" s="50">
        <v>0</v>
      </c>
      <c r="G453" s="64">
        <f t="shared" si="55"/>
        <v>0</v>
      </c>
      <c r="H453" s="64">
        <f t="shared" si="56"/>
        <v>0</v>
      </c>
    </row>
    <row r="454" spans="2:8" hidden="1" outlineLevel="2" x14ac:dyDescent="0.25">
      <c r="B454" s="1" t="s">
        <v>359</v>
      </c>
      <c r="C454" s="44">
        <v>16703.52</v>
      </c>
      <c r="E454" s="50">
        <v>0</v>
      </c>
      <c r="F454" s="50">
        <v>0</v>
      </c>
      <c r="G454" s="64">
        <f t="shared" si="55"/>
        <v>0</v>
      </c>
      <c r="H454" s="64">
        <f t="shared" si="56"/>
        <v>0</v>
      </c>
    </row>
    <row r="455" spans="2:8" hidden="1" outlineLevel="2" x14ac:dyDescent="0.25">
      <c r="B455" s="1" t="s">
        <v>360</v>
      </c>
      <c r="C455" s="44">
        <v>12885.57</v>
      </c>
      <c r="E455" s="50">
        <v>0</v>
      </c>
      <c r="F455" s="50">
        <v>0</v>
      </c>
      <c r="G455" s="64">
        <f t="shared" si="55"/>
        <v>0</v>
      </c>
      <c r="H455" s="64">
        <f t="shared" si="56"/>
        <v>0</v>
      </c>
    </row>
    <row r="456" spans="2:8" hidden="1" outlineLevel="2" x14ac:dyDescent="0.25">
      <c r="B456" s="1" t="s">
        <v>361</v>
      </c>
      <c r="C456" s="44">
        <v>32070.75</v>
      </c>
      <c r="E456" s="50">
        <v>0</v>
      </c>
      <c r="F456" s="50">
        <v>0</v>
      </c>
      <c r="G456" s="64">
        <f t="shared" si="55"/>
        <v>0</v>
      </c>
      <c r="H456" s="64">
        <f t="shared" si="56"/>
        <v>0</v>
      </c>
    </row>
    <row r="457" spans="2:8" hidden="1" outlineLevel="2" x14ac:dyDescent="0.25">
      <c r="B457" s="1" t="s">
        <v>362</v>
      </c>
      <c r="C457" s="44">
        <v>7254.1</v>
      </c>
      <c r="E457" s="50">
        <v>0</v>
      </c>
      <c r="F457" s="50">
        <v>0</v>
      </c>
      <c r="G457" s="64">
        <f t="shared" si="55"/>
        <v>0</v>
      </c>
      <c r="H457" s="64">
        <f t="shared" si="56"/>
        <v>0</v>
      </c>
    </row>
    <row r="458" spans="2:8" hidden="1" outlineLevel="2" x14ac:dyDescent="0.25">
      <c r="B458" s="1" t="s">
        <v>363</v>
      </c>
      <c r="C458" s="44">
        <v>38656.71</v>
      </c>
      <c r="E458" s="50">
        <v>0</v>
      </c>
      <c r="F458" s="50">
        <v>0</v>
      </c>
      <c r="G458" s="64">
        <f t="shared" si="55"/>
        <v>0</v>
      </c>
      <c r="H458" s="64">
        <f t="shared" si="56"/>
        <v>0</v>
      </c>
    </row>
    <row r="459" spans="2:8" hidden="1" outlineLevel="2" x14ac:dyDescent="0.25">
      <c r="B459" s="1" t="s">
        <v>364</v>
      </c>
      <c r="C459" s="44">
        <v>6324.91</v>
      </c>
      <c r="E459" s="50">
        <v>0</v>
      </c>
      <c r="F459" s="50">
        <v>0</v>
      </c>
      <c r="G459" s="64">
        <f t="shared" si="55"/>
        <v>0</v>
      </c>
      <c r="H459" s="64">
        <f t="shared" si="56"/>
        <v>0</v>
      </c>
    </row>
    <row r="460" spans="2:8" outlineLevel="1" collapsed="1" x14ac:dyDescent="0.25">
      <c r="B460" s="60" t="s">
        <v>224</v>
      </c>
      <c r="C460" s="61">
        <v>49448.68</v>
      </c>
      <c r="E460" s="62"/>
      <c r="F460" s="62"/>
      <c r="G460" s="63"/>
      <c r="H460" s="63"/>
    </row>
    <row r="461" spans="2:8" hidden="1" outlineLevel="2" x14ac:dyDescent="0.25">
      <c r="B461" s="1" t="s">
        <v>225</v>
      </c>
      <c r="C461" s="44">
        <v>15449.35</v>
      </c>
      <c r="E461" s="50">
        <v>0</v>
      </c>
      <c r="F461" s="50">
        <v>0</v>
      </c>
      <c r="G461" s="64">
        <f>+E461*C461</f>
        <v>0</v>
      </c>
      <c r="H461" s="64">
        <f>+F461*C461</f>
        <v>0</v>
      </c>
    </row>
    <row r="462" spans="2:8" hidden="1" outlineLevel="2" x14ac:dyDescent="0.25">
      <c r="B462" s="1" t="s">
        <v>365</v>
      </c>
      <c r="C462" s="44">
        <v>3869.74</v>
      </c>
      <c r="E462" s="50">
        <v>0</v>
      </c>
      <c r="F462" s="50">
        <v>0</v>
      </c>
      <c r="G462" s="64">
        <f>+E462*C462</f>
        <v>0</v>
      </c>
      <c r="H462" s="64">
        <f>+F462*C462</f>
        <v>0</v>
      </c>
    </row>
    <row r="463" spans="2:8" hidden="1" outlineLevel="2" x14ac:dyDescent="0.25">
      <c r="B463" s="1" t="s">
        <v>227</v>
      </c>
      <c r="C463" s="44">
        <v>14719.8</v>
      </c>
      <c r="E463" s="50">
        <v>0</v>
      </c>
      <c r="F463" s="50">
        <v>0</v>
      </c>
      <c r="G463" s="64">
        <f>+E463*C463</f>
        <v>0</v>
      </c>
      <c r="H463" s="64">
        <f>+F463*C463</f>
        <v>0</v>
      </c>
    </row>
    <row r="464" spans="2:8" hidden="1" outlineLevel="2" x14ac:dyDescent="0.25">
      <c r="B464" s="1" t="s">
        <v>226</v>
      </c>
      <c r="C464" s="44">
        <v>7359.9</v>
      </c>
      <c r="E464" s="50">
        <v>0</v>
      </c>
      <c r="F464" s="50">
        <v>0</v>
      </c>
      <c r="G464" s="64">
        <f>+E464*C464</f>
        <v>0</v>
      </c>
      <c r="H464" s="64">
        <f>+F464*C464</f>
        <v>0</v>
      </c>
    </row>
    <row r="465" spans="2:8" hidden="1" outlineLevel="2" x14ac:dyDescent="0.25">
      <c r="B465" s="1" t="s">
        <v>366</v>
      </c>
      <c r="C465" s="44">
        <v>8049.89</v>
      </c>
      <c r="E465" s="50">
        <v>0</v>
      </c>
      <c r="F465" s="50">
        <v>0</v>
      </c>
      <c r="G465" s="64">
        <f>+E465*C465</f>
        <v>0</v>
      </c>
      <c r="H465" s="64">
        <f>+F465*C465</f>
        <v>0</v>
      </c>
    </row>
    <row r="466" spans="2:8" outlineLevel="1" collapsed="1" x14ac:dyDescent="0.25">
      <c r="B466" s="60" t="s">
        <v>367</v>
      </c>
      <c r="C466" s="61">
        <v>108723.59</v>
      </c>
      <c r="E466" s="62"/>
      <c r="F466" s="62"/>
      <c r="G466" s="63"/>
      <c r="H466" s="63"/>
    </row>
    <row r="467" spans="2:8" hidden="1" outlineLevel="2" x14ac:dyDescent="0.25">
      <c r="B467" s="1" t="s">
        <v>368</v>
      </c>
      <c r="C467" s="44">
        <v>30552.76</v>
      </c>
      <c r="E467" s="50">
        <v>0</v>
      </c>
      <c r="F467" s="50">
        <v>0</v>
      </c>
      <c r="G467" s="64">
        <f t="shared" ref="G467:G474" si="57">+E467*C467</f>
        <v>0</v>
      </c>
      <c r="H467" s="64">
        <f t="shared" ref="H467:H474" si="58">+F467*C467</f>
        <v>0</v>
      </c>
    </row>
    <row r="468" spans="2:8" hidden="1" outlineLevel="2" x14ac:dyDescent="0.25">
      <c r="B468" s="1" t="s">
        <v>369</v>
      </c>
      <c r="C468" s="44">
        <v>38702.99</v>
      </c>
      <c r="E468" s="50">
        <v>0</v>
      </c>
      <c r="F468" s="50">
        <v>0</v>
      </c>
      <c r="G468" s="64">
        <f t="shared" si="57"/>
        <v>0</v>
      </c>
      <c r="H468" s="64">
        <f t="shared" si="58"/>
        <v>0</v>
      </c>
    </row>
    <row r="469" spans="2:8" hidden="1" outlineLevel="2" x14ac:dyDescent="0.25">
      <c r="B469" s="1" t="s">
        <v>370</v>
      </c>
      <c r="C469" s="44">
        <v>18629.740000000002</v>
      </c>
      <c r="E469" s="50">
        <v>0</v>
      </c>
      <c r="F469" s="50">
        <v>0</v>
      </c>
      <c r="G469" s="64">
        <f t="shared" si="57"/>
        <v>0</v>
      </c>
      <c r="H469" s="64">
        <f t="shared" si="58"/>
        <v>0</v>
      </c>
    </row>
    <row r="470" spans="2:8" hidden="1" outlineLevel="2" x14ac:dyDescent="0.25">
      <c r="B470" s="1" t="s">
        <v>371</v>
      </c>
      <c r="C470" s="44">
        <v>9290.0300000000007</v>
      </c>
      <c r="E470" s="50">
        <v>0</v>
      </c>
      <c r="F470" s="50">
        <v>0</v>
      </c>
      <c r="G470" s="64">
        <f t="shared" si="57"/>
        <v>0</v>
      </c>
      <c r="H470" s="64">
        <f t="shared" si="58"/>
        <v>0</v>
      </c>
    </row>
    <row r="471" spans="2:8" hidden="1" outlineLevel="2" x14ac:dyDescent="0.25">
      <c r="B471" s="1" t="s">
        <v>372</v>
      </c>
      <c r="C471" s="44">
        <v>6899.9</v>
      </c>
      <c r="E471" s="50">
        <v>0</v>
      </c>
      <c r="F471" s="50">
        <v>0</v>
      </c>
      <c r="G471" s="64">
        <f t="shared" si="57"/>
        <v>0</v>
      </c>
      <c r="H471" s="64">
        <f t="shared" si="58"/>
        <v>0</v>
      </c>
    </row>
    <row r="472" spans="2:8" hidden="1" outlineLevel="2" x14ac:dyDescent="0.25">
      <c r="B472" s="1" t="s">
        <v>373</v>
      </c>
      <c r="C472" s="44">
        <v>748.28</v>
      </c>
      <c r="E472" s="50">
        <v>0</v>
      </c>
      <c r="F472" s="50">
        <v>0</v>
      </c>
      <c r="G472" s="64">
        <f t="shared" si="57"/>
        <v>0</v>
      </c>
      <c r="H472" s="64">
        <f t="shared" si="58"/>
        <v>0</v>
      </c>
    </row>
    <row r="473" spans="2:8" hidden="1" outlineLevel="2" x14ac:dyDescent="0.25">
      <c r="B473" s="1" t="s">
        <v>374</v>
      </c>
      <c r="C473" s="44">
        <v>1519.88</v>
      </c>
      <c r="E473" s="50">
        <v>0</v>
      </c>
      <c r="F473" s="50">
        <v>0</v>
      </c>
      <c r="G473" s="64">
        <f t="shared" si="57"/>
        <v>0</v>
      </c>
      <c r="H473" s="64">
        <f t="shared" si="58"/>
        <v>0</v>
      </c>
    </row>
    <row r="474" spans="2:8" hidden="1" outlineLevel="2" x14ac:dyDescent="0.25">
      <c r="B474" s="1" t="s">
        <v>375</v>
      </c>
      <c r="C474" s="44">
        <v>2380.0100000000002</v>
      </c>
      <c r="E474" s="50">
        <v>0</v>
      </c>
      <c r="F474" s="50">
        <v>0</v>
      </c>
      <c r="G474" s="64">
        <f t="shared" si="57"/>
        <v>0</v>
      </c>
      <c r="H474" s="64">
        <f t="shared" si="58"/>
        <v>0</v>
      </c>
    </row>
    <row r="475" spans="2:8" outlineLevel="1" collapsed="1" x14ac:dyDescent="0.25">
      <c r="B475" s="60" t="s">
        <v>229</v>
      </c>
      <c r="C475" s="61">
        <v>104124.45</v>
      </c>
      <c r="E475" s="62"/>
      <c r="F475" s="62"/>
      <c r="G475" s="63"/>
      <c r="H475" s="63"/>
    </row>
    <row r="476" spans="2:8" hidden="1" outlineLevel="2" x14ac:dyDescent="0.25">
      <c r="B476" s="1" t="s">
        <v>230</v>
      </c>
      <c r="C476" s="44">
        <v>12127.73</v>
      </c>
      <c r="E476" s="50">
        <v>0</v>
      </c>
      <c r="F476" s="50">
        <v>0</v>
      </c>
      <c r="G476" s="64">
        <f t="shared" ref="G476:G489" si="59">+E476*C476</f>
        <v>0</v>
      </c>
      <c r="H476" s="64">
        <f t="shared" ref="H476:H489" si="60">+F476*C476</f>
        <v>0</v>
      </c>
    </row>
    <row r="477" spans="2:8" hidden="1" outlineLevel="2" x14ac:dyDescent="0.25">
      <c r="B477" s="1" t="s">
        <v>232</v>
      </c>
      <c r="C477" s="44">
        <v>3363.66</v>
      </c>
      <c r="E477" s="50">
        <v>0</v>
      </c>
      <c r="F477" s="50">
        <v>0</v>
      </c>
      <c r="G477" s="64">
        <f t="shared" si="59"/>
        <v>0</v>
      </c>
      <c r="H477" s="64">
        <f t="shared" si="60"/>
        <v>0</v>
      </c>
    </row>
    <row r="478" spans="2:8" hidden="1" outlineLevel="2" x14ac:dyDescent="0.25">
      <c r="B478" s="1" t="s">
        <v>233</v>
      </c>
      <c r="C478" s="44">
        <v>1950.38</v>
      </c>
      <c r="E478" s="50">
        <v>0</v>
      </c>
      <c r="F478" s="50">
        <v>0</v>
      </c>
      <c r="G478" s="64">
        <f t="shared" si="59"/>
        <v>0</v>
      </c>
      <c r="H478" s="64">
        <f t="shared" si="60"/>
        <v>0</v>
      </c>
    </row>
    <row r="479" spans="2:8" hidden="1" outlineLevel="2" x14ac:dyDescent="0.25">
      <c r="B479" s="1" t="s">
        <v>234</v>
      </c>
      <c r="C479" s="44">
        <v>6835.52</v>
      </c>
      <c r="E479" s="50">
        <v>0</v>
      </c>
      <c r="F479" s="50">
        <v>0</v>
      </c>
      <c r="G479" s="64">
        <f t="shared" si="59"/>
        <v>0</v>
      </c>
      <c r="H479" s="64">
        <f t="shared" si="60"/>
        <v>0</v>
      </c>
    </row>
    <row r="480" spans="2:8" hidden="1" outlineLevel="2" x14ac:dyDescent="0.25">
      <c r="B480" s="1" t="s">
        <v>236</v>
      </c>
      <c r="C480" s="44">
        <v>4973.84</v>
      </c>
      <c r="E480" s="50">
        <v>0</v>
      </c>
      <c r="F480" s="50">
        <v>0</v>
      </c>
      <c r="G480" s="64">
        <f t="shared" si="59"/>
        <v>0</v>
      </c>
      <c r="H480" s="64">
        <f t="shared" si="60"/>
        <v>0</v>
      </c>
    </row>
    <row r="481" spans="2:8" hidden="1" outlineLevel="2" x14ac:dyDescent="0.25">
      <c r="B481" s="1" t="s">
        <v>237</v>
      </c>
      <c r="C481" s="44">
        <v>7460.76</v>
      </c>
      <c r="E481" s="50">
        <v>0</v>
      </c>
      <c r="F481" s="50">
        <v>0</v>
      </c>
      <c r="G481" s="64">
        <f t="shared" si="59"/>
        <v>0</v>
      </c>
      <c r="H481" s="64">
        <f t="shared" si="60"/>
        <v>0</v>
      </c>
    </row>
    <row r="482" spans="2:8" hidden="1" outlineLevel="2" x14ac:dyDescent="0.25">
      <c r="B482" s="1" t="s">
        <v>238</v>
      </c>
      <c r="C482" s="44">
        <v>27397.71</v>
      </c>
      <c r="E482" s="50">
        <v>0</v>
      </c>
      <c r="F482" s="50">
        <v>0</v>
      </c>
      <c r="G482" s="64">
        <f t="shared" si="59"/>
        <v>0</v>
      </c>
      <c r="H482" s="64">
        <f t="shared" si="60"/>
        <v>0</v>
      </c>
    </row>
    <row r="483" spans="2:8" hidden="1" outlineLevel="2" x14ac:dyDescent="0.25">
      <c r="B483" s="1" t="s">
        <v>376</v>
      </c>
      <c r="C483" s="44">
        <v>3461.84</v>
      </c>
      <c r="E483" s="50">
        <v>0</v>
      </c>
      <c r="F483" s="50">
        <v>0</v>
      </c>
      <c r="G483" s="64">
        <f t="shared" si="59"/>
        <v>0</v>
      </c>
      <c r="H483" s="64">
        <f t="shared" si="60"/>
        <v>0</v>
      </c>
    </row>
    <row r="484" spans="2:8" hidden="1" outlineLevel="2" x14ac:dyDescent="0.25">
      <c r="B484" s="1" t="s">
        <v>240</v>
      </c>
      <c r="C484" s="44">
        <v>3911.4</v>
      </c>
      <c r="E484" s="50">
        <v>0</v>
      </c>
      <c r="F484" s="50">
        <v>0</v>
      </c>
      <c r="G484" s="64">
        <f t="shared" si="59"/>
        <v>0</v>
      </c>
      <c r="H484" s="64">
        <f t="shared" si="60"/>
        <v>0</v>
      </c>
    </row>
    <row r="485" spans="2:8" hidden="1" outlineLevel="2" x14ac:dyDescent="0.25">
      <c r="B485" s="1" t="s">
        <v>241</v>
      </c>
      <c r="C485" s="44">
        <v>20762.55</v>
      </c>
      <c r="E485" s="50">
        <v>0</v>
      </c>
      <c r="F485" s="50">
        <v>0</v>
      </c>
      <c r="G485" s="64">
        <f t="shared" si="59"/>
        <v>0</v>
      </c>
      <c r="H485" s="64">
        <f t="shared" si="60"/>
        <v>0</v>
      </c>
    </row>
    <row r="486" spans="2:8" hidden="1" outlineLevel="2" x14ac:dyDescent="0.25">
      <c r="B486" s="1" t="s">
        <v>242</v>
      </c>
      <c r="C486" s="44">
        <v>2863.8</v>
      </c>
      <c r="E486" s="50">
        <v>0</v>
      </c>
      <c r="F486" s="50">
        <v>0</v>
      </c>
      <c r="G486" s="64">
        <f t="shared" si="59"/>
        <v>0</v>
      </c>
      <c r="H486" s="64">
        <f t="shared" si="60"/>
        <v>0</v>
      </c>
    </row>
    <row r="487" spans="2:8" hidden="1" outlineLevel="2" x14ac:dyDescent="0.25">
      <c r="B487" s="1" t="s">
        <v>243</v>
      </c>
      <c r="C487" s="44">
        <v>3432.1</v>
      </c>
      <c r="E487" s="50">
        <v>0</v>
      </c>
      <c r="F487" s="50">
        <v>0</v>
      </c>
      <c r="G487" s="64">
        <f t="shared" si="59"/>
        <v>0</v>
      </c>
      <c r="H487" s="64">
        <f t="shared" si="60"/>
        <v>0</v>
      </c>
    </row>
    <row r="488" spans="2:8" hidden="1" outlineLevel="2" x14ac:dyDescent="0.25">
      <c r="B488" s="1" t="s">
        <v>244</v>
      </c>
      <c r="C488" s="44">
        <v>1908.96</v>
      </c>
      <c r="E488" s="50">
        <v>0</v>
      </c>
      <c r="F488" s="50">
        <v>0</v>
      </c>
      <c r="G488" s="64">
        <f t="shared" si="59"/>
        <v>0</v>
      </c>
      <c r="H488" s="64">
        <f t="shared" si="60"/>
        <v>0</v>
      </c>
    </row>
    <row r="489" spans="2:8" hidden="1" outlineLevel="2" x14ac:dyDescent="0.25">
      <c r="B489" s="1" t="s">
        <v>245</v>
      </c>
      <c r="C489" s="44">
        <v>3674.2</v>
      </c>
      <c r="E489" s="50">
        <v>0</v>
      </c>
      <c r="F489" s="50">
        <v>0</v>
      </c>
      <c r="G489" s="64">
        <f t="shared" si="59"/>
        <v>0</v>
      </c>
      <c r="H489" s="64">
        <f t="shared" si="60"/>
        <v>0</v>
      </c>
    </row>
    <row r="490" spans="2:8" outlineLevel="1" collapsed="1" x14ac:dyDescent="0.25">
      <c r="B490" s="60" t="s">
        <v>247</v>
      </c>
      <c r="C490" s="61">
        <v>60690.93</v>
      </c>
      <c r="E490" s="62"/>
      <c r="F490" s="62"/>
      <c r="G490" s="63"/>
      <c r="H490" s="63"/>
    </row>
    <row r="491" spans="2:8" hidden="1" outlineLevel="2" x14ac:dyDescent="0.25">
      <c r="B491" s="1" t="s">
        <v>377</v>
      </c>
      <c r="C491" s="44">
        <v>5970.02</v>
      </c>
      <c r="E491" s="50">
        <v>0</v>
      </c>
      <c r="F491" s="50">
        <v>0</v>
      </c>
      <c r="G491" s="64">
        <f t="shared" ref="G491:G520" si="61">+E491*C491</f>
        <v>0</v>
      </c>
      <c r="H491" s="64">
        <f t="shared" ref="H491:H520" si="62">+F491*C491</f>
        <v>0</v>
      </c>
    </row>
    <row r="492" spans="2:8" hidden="1" outlineLevel="2" x14ac:dyDescent="0.25">
      <c r="B492" s="1" t="s">
        <v>378</v>
      </c>
      <c r="C492" s="44">
        <v>3607.47</v>
      </c>
      <c r="E492" s="50">
        <v>0</v>
      </c>
      <c r="F492" s="50">
        <v>0</v>
      </c>
      <c r="G492" s="64">
        <f t="shared" si="61"/>
        <v>0</v>
      </c>
      <c r="H492" s="64">
        <f t="shared" si="62"/>
        <v>0</v>
      </c>
    </row>
    <row r="493" spans="2:8" hidden="1" outlineLevel="2" x14ac:dyDescent="0.25">
      <c r="B493" s="1" t="s">
        <v>379</v>
      </c>
      <c r="C493" s="44">
        <v>7359.88</v>
      </c>
      <c r="E493" s="50">
        <v>0</v>
      </c>
      <c r="F493" s="50">
        <v>0</v>
      </c>
      <c r="G493" s="64">
        <f t="shared" si="61"/>
        <v>0</v>
      </c>
      <c r="H493" s="64">
        <f t="shared" si="62"/>
        <v>0</v>
      </c>
    </row>
    <row r="494" spans="2:8" hidden="1" outlineLevel="2" x14ac:dyDescent="0.25">
      <c r="B494" s="1" t="s">
        <v>249</v>
      </c>
      <c r="C494" s="44">
        <v>1322.48</v>
      </c>
      <c r="E494" s="50">
        <v>0</v>
      </c>
      <c r="F494" s="50">
        <v>0</v>
      </c>
      <c r="G494" s="64">
        <f t="shared" si="61"/>
        <v>0</v>
      </c>
      <c r="H494" s="64">
        <f t="shared" si="62"/>
        <v>0</v>
      </c>
    </row>
    <row r="495" spans="2:8" hidden="1" outlineLevel="2" x14ac:dyDescent="0.25">
      <c r="B495" s="1" t="s">
        <v>250</v>
      </c>
      <c r="C495" s="44">
        <v>786.65</v>
      </c>
      <c r="E495" s="50">
        <v>0</v>
      </c>
      <c r="F495" s="50">
        <v>0</v>
      </c>
      <c r="G495" s="64">
        <f t="shared" si="61"/>
        <v>0</v>
      </c>
      <c r="H495" s="64">
        <f t="shared" si="62"/>
        <v>0</v>
      </c>
    </row>
    <row r="496" spans="2:8" hidden="1" outlineLevel="2" x14ac:dyDescent="0.25">
      <c r="B496" s="1" t="s">
        <v>251</v>
      </c>
      <c r="C496" s="44">
        <v>1545.82</v>
      </c>
      <c r="E496" s="50">
        <v>0</v>
      </c>
      <c r="F496" s="50">
        <v>0</v>
      </c>
      <c r="G496" s="64">
        <f t="shared" si="61"/>
        <v>0</v>
      </c>
      <c r="H496" s="64">
        <f t="shared" si="62"/>
        <v>0</v>
      </c>
    </row>
    <row r="497" spans="2:8" hidden="1" outlineLevel="2" x14ac:dyDescent="0.25">
      <c r="B497" s="1" t="s">
        <v>252</v>
      </c>
      <c r="C497" s="44">
        <v>431.48</v>
      </c>
      <c r="E497" s="50">
        <v>0</v>
      </c>
      <c r="F497" s="50">
        <v>0</v>
      </c>
      <c r="G497" s="64">
        <f t="shared" si="61"/>
        <v>0</v>
      </c>
      <c r="H497" s="64">
        <f t="shared" si="62"/>
        <v>0</v>
      </c>
    </row>
    <row r="498" spans="2:8" hidden="1" outlineLevel="2" x14ac:dyDescent="0.25">
      <c r="B498" s="1" t="s">
        <v>253</v>
      </c>
      <c r="C498" s="44">
        <v>4637.46</v>
      </c>
      <c r="E498" s="50">
        <v>0</v>
      </c>
      <c r="F498" s="50">
        <v>0</v>
      </c>
      <c r="G498" s="64">
        <f t="shared" si="61"/>
        <v>0</v>
      </c>
      <c r="H498" s="64">
        <f t="shared" si="62"/>
        <v>0</v>
      </c>
    </row>
    <row r="499" spans="2:8" hidden="1" outlineLevel="2" x14ac:dyDescent="0.25">
      <c r="B499" s="1" t="s">
        <v>254</v>
      </c>
      <c r="C499" s="44">
        <v>0</v>
      </c>
      <c r="E499" s="50">
        <v>0</v>
      </c>
      <c r="F499" s="50">
        <v>0</v>
      </c>
      <c r="G499" s="64">
        <f t="shared" si="61"/>
        <v>0</v>
      </c>
      <c r="H499" s="64">
        <f t="shared" si="62"/>
        <v>0</v>
      </c>
    </row>
    <row r="500" spans="2:8" hidden="1" outlineLevel="2" x14ac:dyDescent="0.25">
      <c r="B500" s="1" t="s">
        <v>255</v>
      </c>
      <c r="C500" s="44">
        <v>1865.46</v>
      </c>
      <c r="E500" s="50">
        <v>0</v>
      </c>
      <c r="F500" s="50">
        <v>0</v>
      </c>
      <c r="G500" s="64">
        <f t="shared" si="61"/>
        <v>0</v>
      </c>
      <c r="H500" s="64">
        <f t="shared" si="62"/>
        <v>0</v>
      </c>
    </row>
    <row r="501" spans="2:8" hidden="1" outlineLevel="2" x14ac:dyDescent="0.25">
      <c r="B501" s="1" t="s">
        <v>256</v>
      </c>
      <c r="C501" s="44">
        <v>711.4</v>
      </c>
      <c r="E501" s="50">
        <v>0</v>
      </c>
      <c r="F501" s="50">
        <v>0</v>
      </c>
      <c r="G501" s="64">
        <f t="shared" si="61"/>
        <v>0</v>
      </c>
      <c r="H501" s="64">
        <f t="shared" si="62"/>
        <v>0</v>
      </c>
    </row>
    <row r="502" spans="2:8" hidden="1" outlineLevel="2" x14ac:dyDescent="0.25">
      <c r="B502" s="1" t="s">
        <v>257</v>
      </c>
      <c r="C502" s="44">
        <v>564.32000000000005</v>
      </c>
      <c r="E502" s="50">
        <v>0</v>
      </c>
      <c r="F502" s="50">
        <v>0</v>
      </c>
      <c r="G502" s="64">
        <f t="shared" si="61"/>
        <v>0</v>
      </c>
      <c r="H502" s="64">
        <f t="shared" si="62"/>
        <v>0</v>
      </c>
    </row>
    <row r="503" spans="2:8" hidden="1" outlineLevel="2" x14ac:dyDescent="0.25">
      <c r="B503" s="1" t="s">
        <v>258</v>
      </c>
      <c r="C503" s="44">
        <v>1422.8</v>
      </c>
      <c r="E503" s="50">
        <v>0</v>
      </c>
      <c r="F503" s="50">
        <v>0</v>
      </c>
      <c r="G503" s="64">
        <f t="shared" si="61"/>
        <v>0</v>
      </c>
      <c r="H503" s="64">
        <f t="shared" si="62"/>
        <v>0</v>
      </c>
    </row>
    <row r="504" spans="2:8" hidden="1" outlineLevel="2" x14ac:dyDescent="0.25">
      <c r="B504" s="1" t="s">
        <v>259</v>
      </c>
      <c r="C504" s="44">
        <v>564.32000000000005</v>
      </c>
      <c r="E504" s="50">
        <v>0</v>
      </c>
      <c r="F504" s="50">
        <v>0</v>
      </c>
      <c r="G504" s="64">
        <f t="shared" si="61"/>
        <v>0</v>
      </c>
      <c r="H504" s="64">
        <f t="shared" si="62"/>
        <v>0</v>
      </c>
    </row>
    <row r="505" spans="2:8" hidden="1" outlineLevel="2" x14ac:dyDescent="0.25">
      <c r="B505" s="1" t="s">
        <v>260</v>
      </c>
      <c r="C505" s="44">
        <v>2845.6</v>
      </c>
      <c r="E505" s="50">
        <v>0</v>
      </c>
      <c r="F505" s="50">
        <v>0</v>
      </c>
      <c r="G505" s="64">
        <f t="shared" si="61"/>
        <v>0</v>
      </c>
      <c r="H505" s="64">
        <f t="shared" si="62"/>
        <v>0</v>
      </c>
    </row>
    <row r="506" spans="2:8" hidden="1" outlineLevel="2" x14ac:dyDescent="0.25">
      <c r="B506" s="1" t="s">
        <v>261</v>
      </c>
      <c r="C506" s="44">
        <v>1185</v>
      </c>
      <c r="E506" s="50">
        <v>0</v>
      </c>
      <c r="F506" s="50">
        <v>0</v>
      </c>
      <c r="G506" s="64">
        <f t="shared" si="61"/>
        <v>0</v>
      </c>
      <c r="H506" s="64">
        <f t="shared" si="62"/>
        <v>0</v>
      </c>
    </row>
    <row r="507" spans="2:8" hidden="1" outlineLevel="2" x14ac:dyDescent="0.25">
      <c r="B507" s="1" t="s">
        <v>262</v>
      </c>
      <c r="C507" s="44">
        <v>1765.02</v>
      </c>
      <c r="E507" s="50">
        <v>0</v>
      </c>
      <c r="F507" s="50">
        <v>0</v>
      </c>
      <c r="G507" s="64">
        <f t="shared" si="61"/>
        <v>0</v>
      </c>
      <c r="H507" s="64">
        <f t="shared" si="62"/>
        <v>0</v>
      </c>
    </row>
    <row r="508" spans="2:8" hidden="1" outlineLevel="2" x14ac:dyDescent="0.25">
      <c r="B508" s="1" t="s">
        <v>263</v>
      </c>
      <c r="C508" s="44">
        <v>2271.96</v>
      </c>
      <c r="E508" s="50">
        <v>0</v>
      </c>
      <c r="F508" s="50">
        <v>0</v>
      </c>
      <c r="G508" s="64">
        <f t="shared" si="61"/>
        <v>0</v>
      </c>
      <c r="H508" s="64">
        <f t="shared" si="62"/>
        <v>0</v>
      </c>
    </row>
    <row r="509" spans="2:8" hidden="1" outlineLevel="2" x14ac:dyDescent="0.25">
      <c r="B509" s="1" t="s">
        <v>264</v>
      </c>
      <c r="C509" s="44">
        <v>1176.68</v>
      </c>
      <c r="E509" s="50">
        <v>0</v>
      </c>
      <c r="F509" s="50">
        <v>0</v>
      </c>
      <c r="G509" s="64">
        <f t="shared" si="61"/>
        <v>0</v>
      </c>
      <c r="H509" s="64">
        <f t="shared" si="62"/>
        <v>0</v>
      </c>
    </row>
    <row r="510" spans="2:8" hidden="1" outlineLevel="2" x14ac:dyDescent="0.25">
      <c r="B510" s="1" t="s">
        <v>265</v>
      </c>
      <c r="C510" s="44">
        <v>592.5</v>
      </c>
      <c r="E510" s="50">
        <v>0</v>
      </c>
      <c r="F510" s="50">
        <v>0</v>
      </c>
      <c r="G510" s="64">
        <f t="shared" si="61"/>
        <v>0</v>
      </c>
      <c r="H510" s="64">
        <f t="shared" si="62"/>
        <v>0</v>
      </c>
    </row>
    <row r="511" spans="2:8" hidden="1" outlineLevel="2" x14ac:dyDescent="0.25">
      <c r="B511" s="1" t="s">
        <v>266</v>
      </c>
      <c r="C511" s="44">
        <v>4417.83</v>
      </c>
      <c r="E511" s="50">
        <v>0</v>
      </c>
      <c r="F511" s="50">
        <v>0</v>
      </c>
      <c r="G511" s="64">
        <f t="shared" si="61"/>
        <v>0</v>
      </c>
      <c r="H511" s="64">
        <f t="shared" si="62"/>
        <v>0</v>
      </c>
    </row>
    <row r="512" spans="2:8" hidden="1" outlineLevel="2" x14ac:dyDescent="0.25">
      <c r="B512" s="1" t="s">
        <v>267</v>
      </c>
      <c r="C512" s="44">
        <v>2656.08</v>
      </c>
      <c r="E512" s="50">
        <v>0</v>
      </c>
      <c r="F512" s="50">
        <v>0</v>
      </c>
      <c r="G512" s="64">
        <f t="shared" si="61"/>
        <v>0</v>
      </c>
      <c r="H512" s="64">
        <f t="shared" si="62"/>
        <v>0</v>
      </c>
    </row>
    <row r="513" spans="2:10" hidden="1" outlineLevel="2" x14ac:dyDescent="0.25">
      <c r="B513" s="1" t="s">
        <v>268</v>
      </c>
      <c r="C513" s="44">
        <v>5226.34</v>
      </c>
      <c r="E513" s="50">
        <v>0</v>
      </c>
      <c r="F513" s="50">
        <v>0</v>
      </c>
      <c r="G513" s="64">
        <f t="shared" si="61"/>
        <v>0</v>
      </c>
      <c r="H513" s="64">
        <f t="shared" si="62"/>
        <v>0</v>
      </c>
    </row>
    <row r="514" spans="2:10" hidden="1" outlineLevel="2" x14ac:dyDescent="0.25">
      <c r="B514" s="1" t="s">
        <v>380</v>
      </c>
      <c r="C514" s="44">
        <v>1306.58</v>
      </c>
      <c r="E514" s="50">
        <v>0</v>
      </c>
      <c r="F514" s="50">
        <v>0</v>
      </c>
      <c r="G514" s="64">
        <f t="shared" si="61"/>
        <v>0</v>
      </c>
      <c r="H514" s="64">
        <f t="shared" si="62"/>
        <v>0</v>
      </c>
    </row>
    <row r="515" spans="2:10" hidden="1" outlineLevel="2" x14ac:dyDescent="0.25">
      <c r="B515" s="1" t="s">
        <v>381</v>
      </c>
      <c r="C515" s="44">
        <v>287.5</v>
      </c>
      <c r="E515" s="50">
        <v>0</v>
      </c>
      <c r="F515" s="50">
        <v>0</v>
      </c>
      <c r="G515" s="64">
        <f t="shared" si="61"/>
        <v>0</v>
      </c>
      <c r="H515" s="64">
        <f t="shared" si="62"/>
        <v>0</v>
      </c>
    </row>
    <row r="516" spans="2:10" hidden="1" outlineLevel="2" x14ac:dyDescent="0.25">
      <c r="B516" s="1" t="s">
        <v>382</v>
      </c>
      <c r="C516" s="44">
        <v>287.5</v>
      </c>
      <c r="E516" s="50">
        <v>0</v>
      </c>
      <c r="F516" s="50">
        <v>0</v>
      </c>
      <c r="G516" s="64">
        <f t="shared" si="61"/>
        <v>0</v>
      </c>
      <c r="H516" s="64">
        <f t="shared" si="62"/>
        <v>0</v>
      </c>
    </row>
    <row r="517" spans="2:10" hidden="1" outlineLevel="2" x14ac:dyDescent="0.25">
      <c r="B517" s="1" t="s">
        <v>383</v>
      </c>
      <c r="C517" s="44">
        <v>2157.4</v>
      </c>
      <c r="E517" s="50">
        <v>0</v>
      </c>
      <c r="F517" s="50">
        <v>0</v>
      </c>
      <c r="G517" s="64">
        <f t="shared" si="61"/>
        <v>0</v>
      </c>
      <c r="H517" s="64">
        <f t="shared" si="62"/>
        <v>0</v>
      </c>
    </row>
    <row r="518" spans="2:10" hidden="1" outlineLevel="2" x14ac:dyDescent="0.25">
      <c r="B518" s="1" t="s">
        <v>384</v>
      </c>
      <c r="C518" s="44">
        <v>2318.73</v>
      </c>
      <c r="E518" s="50">
        <v>0</v>
      </c>
      <c r="F518" s="50">
        <v>0</v>
      </c>
      <c r="G518" s="64">
        <f t="shared" si="61"/>
        <v>0</v>
      </c>
      <c r="H518" s="64">
        <f t="shared" si="62"/>
        <v>0</v>
      </c>
    </row>
    <row r="519" spans="2:10" hidden="1" outlineLevel="2" x14ac:dyDescent="0.25">
      <c r="B519" s="1" t="s">
        <v>269</v>
      </c>
      <c r="C519" s="44">
        <v>663.84</v>
      </c>
      <c r="E519" s="50">
        <v>0</v>
      </c>
      <c r="F519" s="50">
        <v>0</v>
      </c>
      <c r="G519" s="64">
        <f t="shared" si="61"/>
        <v>0</v>
      </c>
      <c r="H519" s="64">
        <f t="shared" si="62"/>
        <v>0</v>
      </c>
    </row>
    <row r="520" spans="2:10" hidden="1" outlineLevel="2" x14ac:dyDescent="0.25">
      <c r="B520" s="1" t="s">
        <v>270</v>
      </c>
      <c r="C520" s="44">
        <v>742.81</v>
      </c>
      <c r="E520" s="50">
        <v>0</v>
      </c>
      <c r="F520" s="50">
        <v>0</v>
      </c>
      <c r="G520" s="64">
        <f t="shared" si="61"/>
        <v>0</v>
      </c>
      <c r="H520" s="64">
        <f t="shared" si="62"/>
        <v>0</v>
      </c>
    </row>
    <row r="521" spans="2:10" outlineLevel="1" collapsed="1" x14ac:dyDescent="0.25">
      <c r="B521" s="60" t="s">
        <v>271</v>
      </c>
      <c r="C521" s="61">
        <v>12289.42</v>
      </c>
      <c r="E521" s="62">
        <f>+G521/C521</f>
        <v>0</v>
      </c>
      <c r="F521" s="62">
        <f>+H521/C521</f>
        <v>1</v>
      </c>
      <c r="G521" s="63">
        <f>+G522+G523</f>
        <v>0</v>
      </c>
      <c r="H521" s="63">
        <f>+H522+H523</f>
        <v>12289.42</v>
      </c>
      <c r="J521" s="79">
        <f t="shared" ref="J521" si="63">+F521-E521</f>
        <v>1</v>
      </c>
    </row>
    <row r="522" spans="2:10" hidden="1" outlineLevel="2" x14ac:dyDescent="0.25">
      <c r="B522" s="1" t="s">
        <v>272</v>
      </c>
      <c r="C522" s="44">
        <v>11607.8</v>
      </c>
      <c r="E522" s="50">
        <v>0</v>
      </c>
      <c r="F522" s="50">
        <v>1</v>
      </c>
      <c r="G522" s="64">
        <f>+E522*C522</f>
        <v>0</v>
      </c>
      <c r="H522" s="64">
        <f>+F522*C522</f>
        <v>11607.8</v>
      </c>
    </row>
    <row r="523" spans="2:10" hidden="1" outlineLevel="2" x14ac:dyDescent="0.25">
      <c r="B523" s="1" t="s">
        <v>81</v>
      </c>
      <c r="C523" s="44">
        <v>681.62</v>
      </c>
      <c r="E523" s="50">
        <v>0</v>
      </c>
      <c r="F523" s="50">
        <v>1</v>
      </c>
      <c r="G523" s="64">
        <f>+E523*C523</f>
        <v>0</v>
      </c>
      <c r="H523" s="64">
        <f>+F523*C523</f>
        <v>681.62</v>
      </c>
    </row>
    <row r="524" spans="2:10" outlineLevel="1" collapsed="1" x14ac:dyDescent="0.25">
      <c r="B524" s="60" t="s">
        <v>273</v>
      </c>
      <c r="C524" s="61">
        <v>47416.79</v>
      </c>
      <c r="E524" s="62"/>
      <c r="F524" s="62"/>
      <c r="G524" s="63"/>
      <c r="H524" s="63"/>
    </row>
    <row r="525" spans="2:10" hidden="1" outlineLevel="2" x14ac:dyDescent="0.25">
      <c r="B525" s="1" t="s">
        <v>385</v>
      </c>
      <c r="C525" s="44">
        <v>13692.87</v>
      </c>
      <c r="E525" s="50">
        <v>0</v>
      </c>
      <c r="F525" s="50">
        <v>0</v>
      </c>
      <c r="G525" s="64">
        <f t="shared" ref="G525:G533" si="64">+E525*C525</f>
        <v>0</v>
      </c>
      <c r="H525" s="64">
        <f t="shared" ref="H525:H533" si="65">+F525*C525</f>
        <v>0</v>
      </c>
    </row>
    <row r="526" spans="2:10" hidden="1" outlineLevel="2" x14ac:dyDescent="0.25">
      <c r="B526" s="1" t="s">
        <v>386</v>
      </c>
      <c r="C526" s="44">
        <v>1447.83</v>
      </c>
      <c r="E526" s="50">
        <v>0</v>
      </c>
      <c r="F526" s="50">
        <v>0</v>
      </c>
      <c r="G526" s="64">
        <f t="shared" si="64"/>
        <v>0</v>
      </c>
      <c r="H526" s="64">
        <f t="shared" si="65"/>
        <v>0</v>
      </c>
    </row>
    <row r="527" spans="2:10" hidden="1" outlineLevel="2" x14ac:dyDescent="0.25">
      <c r="B527" s="1" t="s">
        <v>387</v>
      </c>
      <c r="C527" s="44">
        <v>7359.9</v>
      </c>
      <c r="E527" s="50">
        <v>0</v>
      </c>
      <c r="F527" s="50">
        <v>0</v>
      </c>
      <c r="G527" s="64">
        <f t="shared" si="64"/>
        <v>0</v>
      </c>
      <c r="H527" s="64">
        <f t="shared" si="65"/>
        <v>0</v>
      </c>
    </row>
    <row r="528" spans="2:10" hidden="1" outlineLevel="2" x14ac:dyDescent="0.25">
      <c r="B528" s="1" t="s">
        <v>388</v>
      </c>
      <c r="C528" s="44">
        <v>5979.92</v>
      </c>
      <c r="E528" s="50">
        <v>0</v>
      </c>
      <c r="F528" s="50">
        <v>0</v>
      </c>
      <c r="G528" s="64">
        <f t="shared" si="64"/>
        <v>0</v>
      </c>
      <c r="H528" s="64">
        <f t="shared" si="65"/>
        <v>0</v>
      </c>
    </row>
    <row r="529" spans="2:8" hidden="1" outlineLevel="2" x14ac:dyDescent="0.25">
      <c r="B529" s="1" t="s">
        <v>389</v>
      </c>
      <c r="C529" s="44">
        <v>3255.54</v>
      </c>
      <c r="E529" s="50">
        <v>0</v>
      </c>
      <c r="F529" s="50">
        <v>0</v>
      </c>
      <c r="G529" s="64">
        <f t="shared" si="64"/>
        <v>0</v>
      </c>
      <c r="H529" s="64">
        <f t="shared" si="65"/>
        <v>0</v>
      </c>
    </row>
    <row r="530" spans="2:8" hidden="1" outlineLevel="2" x14ac:dyDescent="0.25">
      <c r="B530" s="1" t="s">
        <v>390</v>
      </c>
      <c r="C530" s="44">
        <v>4242.66</v>
      </c>
      <c r="E530" s="50">
        <v>0</v>
      </c>
      <c r="F530" s="50">
        <v>0</v>
      </c>
      <c r="G530" s="64">
        <f t="shared" si="64"/>
        <v>0</v>
      </c>
      <c r="H530" s="64">
        <f t="shared" si="65"/>
        <v>0</v>
      </c>
    </row>
    <row r="531" spans="2:8" hidden="1" outlineLevel="2" x14ac:dyDescent="0.25">
      <c r="B531" s="1" t="s">
        <v>391</v>
      </c>
      <c r="C531" s="44">
        <v>5242.8599999999997</v>
      </c>
      <c r="E531" s="50">
        <v>0</v>
      </c>
      <c r="F531" s="50">
        <v>0</v>
      </c>
      <c r="G531" s="64">
        <f t="shared" si="64"/>
        <v>0</v>
      </c>
      <c r="H531" s="64">
        <f t="shared" si="65"/>
        <v>0</v>
      </c>
    </row>
    <row r="532" spans="2:8" hidden="1" outlineLevel="2" x14ac:dyDescent="0.25">
      <c r="B532" s="1" t="s">
        <v>392</v>
      </c>
      <c r="C532" s="44">
        <v>4950.6899999999996</v>
      </c>
      <c r="E532" s="50">
        <v>0</v>
      </c>
      <c r="F532" s="50">
        <v>0</v>
      </c>
      <c r="G532" s="64">
        <f t="shared" si="64"/>
        <v>0</v>
      </c>
      <c r="H532" s="64">
        <f t="shared" si="65"/>
        <v>0</v>
      </c>
    </row>
    <row r="533" spans="2:8" hidden="1" outlineLevel="2" x14ac:dyDescent="0.25">
      <c r="B533" s="1" t="s">
        <v>393</v>
      </c>
      <c r="C533" s="44">
        <v>1244.52</v>
      </c>
      <c r="E533" s="50">
        <v>0</v>
      </c>
      <c r="F533" s="50">
        <v>0</v>
      </c>
      <c r="G533" s="64">
        <f t="shared" si="64"/>
        <v>0</v>
      </c>
      <c r="H533" s="64">
        <f t="shared" si="65"/>
        <v>0</v>
      </c>
    </row>
    <row r="534" spans="2:8" outlineLevel="1" collapsed="1" x14ac:dyDescent="0.25">
      <c r="B534" s="60" t="s">
        <v>282</v>
      </c>
      <c r="C534" s="61">
        <v>34791.15</v>
      </c>
      <c r="E534" s="62"/>
      <c r="F534" s="62"/>
      <c r="G534" s="63"/>
      <c r="H534" s="63"/>
    </row>
    <row r="535" spans="2:8" hidden="1" outlineLevel="2" x14ac:dyDescent="0.25">
      <c r="B535" s="1" t="s">
        <v>283</v>
      </c>
      <c r="C535" s="44">
        <v>1197.02</v>
      </c>
      <c r="E535" s="50">
        <v>0</v>
      </c>
      <c r="F535" s="50">
        <v>0</v>
      </c>
      <c r="G535" s="64">
        <f t="shared" ref="G535:G540" si="66">+E535*C535</f>
        <v>0</v>
      </c>
      <c r="H535" s="64">
        <f t="shared" ref="H535:H540" si="67">+F535*C535</f>
        <v>0</v>
      </c>
    </row>
    <row r="536" spans="2:8" hidden="1" outlineLevel="2" x14ac:dyDescent="0.25">
      <c r="B536" s="1" t="s">
        <v>284</v>
      </c>
      <c r="C536" s="44">
        <v>1437.48</v>
      </c>
      <c r="E536" s="50">
        <v>0</v>
      </c>
      <c r="F536" s="50">
        <v>0</v>
      </c>
      <c r="G536" s="64">
        <f t="shared" si="66"/>
        <v>0</v>
      </c>
      <c r="H536" s="64">
        <f t="shared" si="67"/>
        <v>0</v>
      </c>
    </row>
    <row r="537" spans="2:8" hidden="1" outlineLevel="2" x14ac:dyDescent="0.25">
      <c r="B537" s="1" t="s">
        <v>285</v>
      </c>
      <c r="C537" s="44">
        <v>431.24</v>
      </c>
      <c r="E537" s="50">
        <v>0</v>
      </c>
      <c r="F537" s="50">
        <v>0</v>
      </c>
      <c r="G537" s="64">
        <f t="shared" si="66"/>
        <v>0</v>
      </c>
      <c r="H537" s="64">
        <f t="shared" si="67"/>
        <v>0</v>
      </c>
    </row>
    <row r="538" spans="2:8" hidden="1" outlineLevel="2" x14ac:dyDescent="0.25">
      <c r="B538" s="1" t="s">
        <v>286</v>
      </c>
      <c r="C538" s="44">
        <v>7647.39</v>
      </c>
      <c r="E538" s="50">
        <v>0</v>
      </c>
      <c r="F538" s="50">
        <v>0</v>
      </c>
      <c r="G538" s="64">
        <f t="shared" si="66"/>
        <v>0</v>
      </c>
      <c r="H538" s="64">
        <f t="shared" si="67"/>
        <v>0</v>
      </c>
    </row>
    <row r="539" spans="2:8" hidden="1" outlineLevel="2" x14ac:dyDescent="0.25">
      <c r="B539" s="1" t="s">
        <v>287</v>
      </c>
      <c r="C539" s="44">
        <v>10349.86</v>
      </c>
      <c r="E539" s="50">
        <v>0</v>
      </c>
      <c r="F539" s="50">
        <v>0</v>
      </c>
      <c r="G539" s="64">
        <f t="shared" si="66"/>
        <v>0</v>
      </c>
      <c r="H539" s="64">
        <f t="shared" si="67"/>
        <v>0</v>
      </c>
    </row>
    <row r="540" spans="2:8" hidden="1" outlineLevel="2" x14ac:dyDescent="0.25">
      <c r="B540" s="1" t="s">
        <v>288</v>
      </c>
      <c r="C540" s="44">
        <v>13728.16</v>
      </c>
      <c r="E540" s="50">
        <v>0</v>
      </c>
      <c r="F540" s="50">
        <v>0</v>
      </c>
      <c r="G540" s="64">
        <f t="shared" si="66"/>
        <v>0</v>
      </c>
      <c r="H540" s="64">
        <f t="shared" si="67"/>
        <v>0</v>
      </c>
    </row>
    <row r="541" spans="2:8" outlineLevel="1" collapsed="1" x14ac:dyDescent="0.25">
      <c r="B541" s="60" t="s">
        <v>289</v>
      </c>
      <c r="C541" s="61">
        <v>45313.31</v>
      </c>
      <c r="E541" s="62"/>
      <c r="F541" s="62"/>
      <c r="G541" s="63"/>
      <c r="H541" s="63"/>
    </row>
    <row r="542" spans="2:8" hidden="1" outlineLevel="2" x14ac:dyDescent="0.25">
      <c r="B542" s="1" t="s">
        <v>394</v>
      </c>
      <c r="C542" s="44">
        <v>1472.5</v>
      </c>
      <c r="E542" s="50">
        <v>0</v>
      </c>
      <c r="F542" s="50">
        <v>0</v>
      </c>
      <c r="G542" s="64">
        <f t="shared" ref="G542:G549" si="68">+E542*C542</f>
        <v>0</v>
      </c>
      <c r="H542" s="64">
        <f t="shared" ref="H542:H549" si="69">+F542*C542</f>
        <v>0</v>
      </c>
    </row>
    <row r="543" spans="2:8" hidden="1" outlineLevel="2" x14ac:dyDescent="0.25">
      <c r="B543" s="1" t="s">
        <v>395</v>
      </c>
      <c r="C543" s="44">
        <v>3219.96</v>
      </c>
      <c r="E543" s="50">
        <v>0</v>
      </c>
      <c r="F543" s="50">
        <v>0</v>
      </c>
      <c r="G543" s="64">
        <f t="shared" si="68"/>
        <v>0</v>
      </c>
      <c r="H543" s="64">
        <f t="shared" si="69"/>
        <v>0</v>
      </c>
    </row>
    <row r="544" spans="2:8" hidden="1" outlineLevel="2" x14ac:dyDescent="0.25">
      <c r="B544" s="1" t="s">
        <v>396</v>
      </c>
      <c r="C544" s="44">
        <v>9168.7800000000007</v>
      </c>
      <c r="E544" s="50">
        <v>0</v>
      </c>
      <c r="F544" s="50">
        <v>0</v>
      </c>
      <c r="G544" s="64">
        <f t="shared" si="68"/>
        <v>0</v>
      </c>
      <c r="H544" s="64">
        <f t="shared" si="69"/>
        <v>0</v>
      </c>
    </row>
    <row r="545" spans="2:10" hidden="1" outlineLevel="2" x14ac:dyDescent="0.25">
      <c r="B545" s="1" t="s">
        <v>397</v>
      </c>
      <c r="C545" s="44">
        <v>3104.94</v>
      </c>
      <c r="E545" s="50">
        <v>0</v>
      </c>
      <c r="F545" s="50">
        <v>0</v>
      </c>
      <c r="G545" s="64">
        <f t="shared" si="68"/>
        <v>0</v>
      </c>
      <c r="H545" s="64">
        <f t="shared" si="69"/>
        <v>0</v>
      </c>
    </row>
    <row r="546" spans="2:10" hidden="1" outlineLevel="2" x14ac:dyDescent="0.25">
      <c r="B546" s="1" t="s">
        <v>398</v>
      </c>
      <c r="C546" s="44">
        <v>19319.759999999998</v>
      </c>
      <c r="E546" s="50">
        <v>0</v>
      </c>
      <c r="F546" s="50">
        <v>0</v>
      </c>
      <c r="G546" s="64">
        <f t="shared" si="68"/>
        <v>0</v>
      </c>
      <c r="H546" s="64">
        <f t="shared" si="69"/>
        <v>0</v>
      </c>
    </row>
    <row r="547" spans="2:10" hidden="1" outlineLevel="2" x14ac:dyDescent="0.25">
      <c r="B547" s="1" t="s">
        <v>399</v>
      </c>
      <c r="C547" s="44">
        <v>7129.92</v>
      </c>
      <c r="E547" s="50">
        <v>0</v>
      </c>
      <c r="F547" s="50">
        <v>0</v>
      </c>
      <c r="G547" s="64">
        <f t="shared" si="68"/>
        <v>0</v>
      </c>
      <c r="H547" s="64">
        <f t="shared" si="69"/>
        <v>0</v>
      </c>
    </row>
    <row r="548" spans="2:10" hidden="1" outlineLevel="2" x14ac:dyDescent="0.25">
      <c r="B548" s="1" t="s">
        <v>400</v>
      </c>
      <c r="C548" s="44">
        <v>0</v>
      </c>
      <c r="E548" s="50">
        <v>0</v>
      </c>
      <c r="F548" s="50">
        <v>0</v>
      </c>
      <c r="G548" s="64">
        <f t="shared" si="68"/>
        <v>0</v>
      </c>
      <c r="H548" s="64">
        <f t="shared" si="69"/>
        <v>0</v>
      </c>
    </row>
    <row r="549" spans="2:10" hidden="1" outlineLevel="2" x14ac:dyDescent="0.25">
      <c r="B549" s="1" t="s">
        <v>401</v>
      </c>
      <c r="C549" s="44">
        <v>1897.45</v>
      </c>
      <c r="E549" s="50">
        <v>0</v>
      </c>
      <c r="F549" s="50">
        <v>0</v>
      </c>
      <c r="G549" s="64">
        <f t="shared" si="68"/>
        <v>0</v>
      </c>
      <c r="H549" s="64">
        <f t="shared" si="69"/>
        <v>0</v>
      </c>
    </row>
    <row r="550" spans="2:10" outlineLevel="1" collapsed="1" x14ac:dyDescent="0.25">
      <c r="B550" s="60" t="s">
        <v>402</v>
      </c>
      <c r="C550" s="61">
        <v>861.34</v>
      </c>
      <c r="E550" s="62"/>
      <c r="F550" s="62"/>
      <c r="G550" s="63"/>
      <c r="H550" s="63"/>
    </row>
    <row r="551" spans="2:10" hidden="1" outlineLevel="2" x14ac:dyDescent="0.25">
      <c r="B551" s="1" t="s">
        <v>403</v>
      </c>
      <c r="C551" s="44">
        <v>861.34</v>
      </c>
      <c r="E551" s="50">
        <v>0</v>
      </c>
      <c r="F551" s="50">
        <v>0</v>
      </c>
      <c r="G551" s="64">
        <f>+E551*C551</f>
        <v>0</v>
      </c>
      <c r="H551" s="64">
        <f>+F551*C551</f>
        <v>0</v>
      </c>
    </row>
    <row r="552" spans="2:10" outlineLevel="1" collapsed="1" x14ac:dyDescent="0.25">
      <c r="B552" s="60" t="s">
        <v>297</v>
      </c>
      <c r="C552" s="61">
        <v>24252.36</v>
      </c>
      <c r="E552" s="62"/>
      <c r="F552" s="62"/>
      <c r="G552" s="63"/>
      <c r="H552" s="63"/>
    </row>
    <row r="553" spans="2:10" hidden="1" outlineLevel="2" x14ac:dyDescent="0.25">
      <c r="B553" s="1" t="s">
        <v>246</v>
      </c>
      <c r="C553" s="44">
        <v>9859.86</v>
      </c>
      <c r="E553" s="50">
        <v>0</v>
      </c>
      <c r="F553" s="50">
        <v>0</v>
      </c>
      <c r="G553" s="64">
        <f>+E553*C553</f>
        <v>0</v>
      </c>
      <c r="H553" s="64">
        <f>+F553*C553</f>
        <v>0</v>
      </c>
    </row>
    <row r="554" spans="2:10" hidden="1" outlineLevel="2" x14ac:dyDescent="0.25">
      <c r="B554" s="1" t="s">
        <v>298</v>
      </c>
      <c r="C554" s="44">
        <v>14392.5</v>
      </c>
      <c r="E554" s="50">
        <v>0</v>
      </c>
      <c r="F554" s="50">
        <v>0</v>
      </c>
      <c r="G554" s="64">
        <f>+E554*C554</f>
        <v>0</v>
      </c>
      <c r="H554" s="64">
        <f>+F554*C554</f>
        <v>0</v>
      </c>
    </row>
    <row r="555" spans="2:10" outlineLevel="1" collapsed="1" x14ac:dyDescent="0.25">
      <c r="B555" s="60" t="s">
        <v>293</v>
      </c>
      <c r="C555" s="61">
        <v>21640</v>
      </c>
      <c r="E555" s="62"/>
      <c r="F555" s="62"/>
      <c r="G555" s="63"/>
      <c r="H555" s="63"/>
    </row>
    <row r="556" spans="2:10" hidden="1" outlineLevel="2" x14ac:dyDescent="0.25">
      <c r="B556" s="1" t="s">
        <v>294</v>
      </c>
      <c r="C556" s="44">
        <v>14290.2</v>
      </c>
      <c r="E556" s="50">
        <v>0</v>
      </c>
      <c r="F556" s="50">
        <v>0</v>
      </c>
      <c r="G556" s="64">
        <f>+E556*C556</f>
        <v>0</v>
      </c>
      <c r="H556" s="64">
        <f>+F556*C556</f>
        <v>0</v>
      </c>
    </row>
    <row r="557" spans="2:10" hidden="1" outlineLevel="2" x14ac:dyDescent="0.25">
      <c r="B557" s="1" t="s">
        <v>295</v>
      </c>
      <c r="C557" s="44">
        <v>5509.8</v>
      </c>
      <c r="E557" s="50">
        <v>0</v>
      </c>
      <c r="F557" s="50">
        <v>0</v>
      </c>
      <c r="G557" s="64">
        <f>+E557*C557</f>
        <v>0</v>
      </c>
      <c r="H557" s="64">
        <f>+F557*C557</f>
        <v>0</v>
      </c>
    </row>
    <row r="558" spans="2:10" hidden="1" outlineLevel="2" x14ac:dyDescent="0.25">
      <c r="B558" s="1" t="s">
        <v>296</v>
      </c>
      <c r="C558" s="44">
        <v>1840</v>
      </c>
      <c r="E558" s="50">
        <v>0</v>
      </c>
      <c r="F558" s="50">
        <v>0</v>
      </c>
      <c r="G558" s="64">
        <f>+E558*C558</f>
        <v>0</v>
      </c>
      <c r="H558" s="64">
        <f>+F558*C558</f>
        <v>0</v>
      </c>
    </row>
    <row r="559" spans="2:10" outlineLevel="1" collapsed="1" x14ac:dyDescent="0.25">
      <c r="C559" s="44"/>
      <c r="G559" s="64"/>
      <c r="H559" s="64"/>
    </row>
    <row r="560" spans="2:10" x14ac:dyDescent="0.25">
      <c r="B560" s="45" t="s">
        <v>406</v>
      </c>
      <c r="C560" s="46">
        <f>+C561+C563+C566+C592+C607+C609+C635+C649+C668+C677+C680+C683+C710+C719+C727+C744+C746+C749+C760+C766+C775+C790+C821+C824+C834+C841+C850+C852+C855</f>
        <v>2435578.5999999996</v>
      </c>
      <c r="E560" s="59">
        <f>+G560/C560</f>
        <v>0.2125280929139384</v>
      </c>
      <c r="F560" s="59">
        <f>+H560/C560</f>
        <v>0.13824485237306652</v>
      </c>
      <c r="G560" s="58">
        <f>+G561+G563+G566+G821+G592+G609+G607+G635</f>
        <v>517628.87499999994</v>
      </c>
      <c r="H560" s="58">
        <f>+H561+H563+H566+H821+H592+H609+H607+H635</f>
        <v>336706.20399999997</v>
      </c>
      <c r="J560" s="97">
        <f t="shared" ref="J560" si="70">+F560-E560</f>
        <v>-7.4283240540871875E-2</v>
      </c>
    </row>
    <row r="561" spans="2:10" outlineLevel="1" x14ac:dyDescent="0.25">
      <c r="B561" s="60" t="s">
        <v>78</v>
      </c>
      <c r="C561" s="61">
        <v>9070.2000000000007</v>
      </c>
      <c r="E561" s="62">
        <f>+G561/C561</f>
        <v>1</v>
      </c>
      <c r="F561" s="62">
        <f>+H561/C561</f>
        <v>1</v>
      </c>
      <c r="G561" s="63">
        <f>+G562</f>
        <v>9070.2000000000007</v>
      </c>
      <c r="H561" s="63">
        <f>+H562</f>
        <v>9070.2000000000007</v>
      </c>
      <c r="J561" s="79">
        <f t="shared" ref="J561:J566" si="71">+F561-E561</f>
        <v>0</v>
      </c>
    </row>
    <row r="562" spans="2:10" hidden="1" outlineLevel="2" x14ac:dyDescent="0.25">
      <c r="B562" s="1" t="s">
        <v>79</v>
      </c>
      <c r="C562" s="44">
        <v>9070.2000000000007</v>
      </c>
      <c r="E562" s="50">
        <v>1</v>
      </c>
      <c r="F562" s="50">
        <v>1</v>
      </c>
      <c r="G562" s="64">
        <f>+E562*C562</f>
        <v>9070.2000000000007</v>
      </c>
      <c r="H562" s="64">
        <f>+F562*C562</f>
        <v>9070.2000000000007</v>
      </c>
      <c r="J562" s="79">
        <f t="shared" si="71"/>
        <v>0</v>
      </c>
    </row>
    <row r="563" spans="2:10" outlineLevel="1" collapsed="1" x14ac:dyDescent="0.25">
      <c r="B563" s="60" t="s">
        <v>80</v>
      </c>
      <c r="C563" s="61">
        <v>1855.37</v>
      </c>
      <c r="E563" s="62">
        <f>+G563/C563</f>
        <v>1</v>
      </c>
      <c r="F563" s="62">
        <f>+H563/C563</f>
        <v>1</v>
      </c>
      <c r="G563" s="63">
        <f>+G564+G565</f>
        <v>1855.37</v>
      </c>
      <c r="H563" s="63">
        <f>+H564+H565</f>
        <v>1855.37</v>
      </c>
      <c r="J563" s="79">
        <f t="shared" si="71"/>
        <v>0</v>
      </c>
    </row>
    <row r="564" spans="2:10" hidden="1" outlineLevel="2" x14ac:dyDescent="0.25">
      <c r="B564" s="1" t="s">
        <v>81</v>
      </c>
      <c r="C564" s="44">
        <v>1118.55</v>
      </c>
      <c r="E564" s="50">
        <v>1</v>
      </c>
      <c r="F564" s="50">
        <v>1</v>
      </c>
      <c r="G564" s="64">
        <f>+E564*C564</f>
        <v>1118.55</v>
      </c>
      <c r="H564" s="64">
        <f>+F564*C564</f>
        <v>1118.55</v>
      </c>
      <c r="J564" s="79">
        <f t="shared" si="71"/>
        <v>0</v>
      </c>
    </row>
    <row r="565" spans="2:10" hidden="1" outlineLevel="2" x14ac:dyDescent="0.25">
      <c r="B565" s="1" t="s">
        <v>82</v>
      </c>
      <c r="C565" s="44">
        <v>736.82</v>
      </c>
      <c r="E565" s="50">
        <v>1</v>
      </c>
      <c r="F565" s="50">
        <v>1</v>
      </c>
      <c r="G565" s="64">
        <f>+E565*C565</f>
        <v>736.82</v>
      </c>
      <c r="H565" s="64">
        <f>+F565*C565</f>
        <v>736.82</v>
      </c>
      <c r="J565" s="79">
        <f t="shared" si="71"/>
        <v>0</v>
      </c>
    </row>
    <row r="566" spans="2:10" outlineLevel="1" collapsed="1" x14ac:dyDescent="0.25">
      <c r="B566" s="60" t="s">
        <v>83</v>
      </c>
      <c r="C566" s="61">
        <v>183681.82</v>
      </c>
      <c r="E566" s="62">
        <f>+G566/C566</f>
        <v>0.99999999999999989</v>
      </c>
      <c r="F566" s="62">
        <f>+H566/C566</f>
        <v>1.3533539519588818</v>
      </c>
      <c r="G566" s="63">
        <f>SUM(G567:G591)</f>
        <v>183681.81999999998</v>
      </c>
      <c r="H566" s="63">
        <f>SUM(H567:H592)</f>
        <v>248586.51699999996</v>
      </c>
      <c r="J566" s="79">
        <f t="shared" si="71"/>
        <v>0.35335395195888186</v>
      </c>
    </row>
    <row r="567" spans="2:10" hidden="1" outlineLevel="2" x14ac:dyDescent="0.25">
      <c r="B567" s="1" t="s">
        <v>84</v>
      </c>
      <c r="C567" s="44">
        <v>10207.56</v>
      </c>
      <c r="E567" s="50">
        <v>1</v>
      </c>
      <c r="F567" s="50">
        <v>1</v>
      </c>
      <c r="G567" s="64">
        <f t="shared" ref="G567:G591" si="72">+E567*C567</f>
        <v>10207.56</v>
      </c>
      <c r="H567" s="64">
        <f t="shared" ref="H567:H591" si="73">+F567*C567</f>
        <v>10207.56</v>
      </c>
    </row>
    <row r="568" spans="2:10" hidden="1" outlineLevel="2" x14ac:dyDescent="0.25">
      <c r="B568" s="1" t="s">
        <v>85</v>
      </c>
      <c r="C568" s="44">
        <v>5045.08</v>
      </c>
      <c r="E568" s="50">
        <v>1</v>
      </c>
      <c r="F568" s="50">
        <v>1</v>
      </c>
      <c r="G568" s="64">
        <f t="shared" si="72"/>
        <v>5045.08</v>
      </c>
      <c r="H568" s="64">
        <f t="shared" si="73"/>
        <v>5045.08</v>
      </c>
    </row>
    <row r="569" spans="2:10" hidden="1" outlineLevel="2" x14ac:dyDescent="0.25">
      <c r="B569" s="1" t="s">
        <v>86</v>
      </c>
      <c r="C569" s="44">
        <v>3100.09</v>
      </c>
      <c r="E569" s="50">
        <v>1</v>
      </c>
      <c r="F569" s="50">
        <v>1</v>
      </c>
      <c r="G569" s="64">
        <f t="shared" si="72"/>
        <v>3100.09</v>
      </c>
      <c r="H569" s="64">
        <f t="shared" si="73"/>
        <v>3100.09</v>
      </c>
    </row>
    <row r="570" spans="2:10" hidden="1" outlineLevel="2" x14ac:dyDescent="0.25">
      <c r="B570" s="1" t="s">
        <v>87</v>
      </c>
      <c r="C570" s="44">
        <v>2653.92</v>
      </c>
      <c r="E570" s="50">
        <v>1</v>
      </c>
      <c r="F570" s="50">
        <v>1</v>
      </c>
      <c r="G570" s="64">
        <f t="shared" si="72"/>
        <v>2653.92</v>
      </c>
      <c r="H570" s="64">
        <f t="shared" si="73"/>
        <v>2653.92</v>
      </c>
    </row>
    <row r="571" spans="2:10" hidden="1" outlineLevel="2" x14ac:dyDescent="0.25">
      <c r="B571" s="1" t="s">
        <v>88</v>
      </c>
      <c r="C571" s="44">
        <v>1452.12</v>
      </c>
      <c r="E571" s="50">
        <v>1</v>
      </c>
      <c r="F571" s="50">
        <v>1</v>
      </c>
      <c r="G571" s="64">
        <f t="shared" si="72"/>
        <v>1452.12</v>
      </c>
      <c r="H571" s="64">
        <f t="shared" si="73"/>
        <v>1452.12</v>
      </c>
    </row>
    <row r="572" spans="2:10" hidden="1" outlineLevel="2" x14ac:dyDescent="0.25">
      <c r="B572" s="1" t="s">
        <v>89</v>
      </c>
      <c r="C572" s="44">
        <v>2404.85</v>
      </c>
      <c r="E572" s="50">
        <v>1</v>
      </c>
      <c r="F572" s="50">
        <v>1</v>
      </c>
      <c r="G572" s="64">
        <f t="shared" si="72"/>
        <v>2404.85</v>
      </c>
      <c r="H572" s="64">
        <f t="shared" si="73"/>
        <v>2404.85</v>
      </c>
    </row>
    <row r="573" spans="2:10" hidden="1" outlineLevel="2" x14ac:dyDescent="0.25">
      <c r="B573" s="1" t="s">
        <v>90</v>
      </c>
      <c r="C573" s="44">
        <v>753.2</v>
      </c>
      <c r="E573" s="50">
        <v>1</v>
      </c>
      <c r="F573" s="50">
        <v>1</v>
      </c>
      <c r="G573" s="64">
        <f t="shared" si="72"/>
        <v>753.2</v>
      </c>
      <c r="H573" s="64">
        <f t="shared" si="73"/>
        <v>753.2</v>
      </c>
    </row>
    <row r="574" spans="2:10" hidden="1" outlineLevel="2" x14ac:dyDescent="0.25">
      <c r="B574" s="1" t="s">
        <v>91</v>
      </c>
      <c r="C574" s="44">
        <v>753.2</v>
      </c>
      <c r="E574" s="50">
        <v>1</v>
      </c>
      <c r="F574" s="50">
        <v>1</v>
      </c>
      <c r="G574" s="64">
        <f t="shared" si="72"/>
        <v>753.2</v>
      </c>
      <c r="H574" s="64">
        <f t="shared" si="73"/>
        <v>753.2</v>
      </c>
    </row>
    <row r="575" spans="2:10" hidden="1" outlineLevel="2" x14ac:dyDescent="0.25">
      <c r="B575" s="1" t="s">
        <v>300</v>
      </c>
      <c r="C575" s="44">
        <v>272.37</v>
      </c>
      <c r="E575" s="50">
        <v>1</v>
      </c>
      <c r="F575" s="50">
        <v>1</v>
      </c>
      <c r="G575" s="64">
        <f t="shared" si="72"/>
        <v>272.37</v>
      </c>
      <c r="H575" s="64">
        <f t="shared" si="73"/>
        <v>272.37</v>
      </c>
    </row>
    <row r="576" spans="2:10" hidden="1" outlineLevel="2" x14ac:dyDescent="0.25">
      <c r="B576" s="1" t="s">
        <v>92</v>
      </c>
      <c r="C576" s="44">
        <v>371.75</v>
      </c>
      <c r="E576" s="50">
        <v>1</v>
      </c>
      <c r="F576" s="50">
        <v>1</v>
      </c>
      <c r="G576" s="64">
        <f t="shared" si="72"/>
        <v>371.75</v>
      </c>
      <c r="H576" s="64">
        <f t="shared" si="73"/>
        <v>371.75</v>
      </c>
    </row>
    <row r="577" spans="2:10" hidden="1" outlineLevel="2" x14ac:dyDescent="0.25">
      <c r="B577" s="1" t="s">
        <v>93</v>
      </c>
      <c r="C577" s="44">
        <v>2465.0700000000002</v>
      </c>
      <c r="E577" s="50">
        <v>1</v>
      </c>
      <c r="F577" s="50">
        <v>1</v>
      </c>
      <c r="G577" s="64">
        <f t="shared" si="72"/>
        <v>2465.0700000000002</v>
      </c>
      <c r="H577" s="64">
        <f t="shared" si="73"/>
        <v>2465.0700000000002</v>
      </c>
    </row>
    <row r="578" spans="2:10" hidden="1" outlineLevel="2" x14ac:dyDescent="0.25">
      <c r="B578" s="1" t="s">
        <v>94</v>
      </c>
      <c r="C578" s="44">
        <v>582.14</v>
      </c>
      <c r="E578" s="50">
        <v>1</v>
      </c>
      <c r="F578" s="50">
        <v>1</v>
      </c>
      <c r="G578" s="64">
        <f t="shared" si="72"/>
        <v>582.14</v>
      </c>
      <c r="H578" s="64">
        <f t="shared" si="73"/>
        <v>582.14</v>
      </c>
    </row>
    <row r="579" spans="2:10" hidden="1" outlineLevel="2" x14ac:dyDescent="0.25">
      <c r="B579" s="1" t="s">
        <v>95</v>
      </c>
      <c r="C579" s="44">
        <v>574.99</v>
      </c>
      <c r="E579" s="50">
        <v>1</v>
      </c>
      <c r="F579" s="50">
        <v>1</v>
      </c>
      <c r="G579" s="64">
        <f t="shared" si="72"/>
        <v>574.99</v>
      </c>
      <c r="H579" s="64">
        <f t="shared" si="73"/>
        <v>574.99</v>
      </c>
    </row>
    <row r="580" spans="2:10" hidden="1" outlineLevel="2" x14ac:dyDescent="0.25">
      <c r="B580" s="1" t="s">
        <v>96</v>
      </c>
      <c r="C580" s="44">
        <v>1659.62</v>
      </c>
      <c r="E580" s="50">
        <v>1</v>
      </c>
      <c r="F580" s="50">
        <v>1</v>
      </c>
      <c r="G580" s="64">
        <f t="shared" si="72"/>
        <v>1659.62</v>
      </c>
      <c r="H580" s="64">
        <f t="shared" si="73"/>
        <v>1659.62</v>
      </c>
    </row>
    <row r="581" spans="2:10" hidden="1" outlineLevel="2" x14ac:dyDescent="0.25">
      <c r="B581" s="1" t="s">
        <v>97</v>
      </c>
      <c r="C581" s="44">
        <v>87.1</v>
      </c>
      <c r="E581" s="50">
        <v>1</v>
      </c>
      <c r="F581" s="50">
        <v>1</v>
      </c>
      <c r="G581" s="64">
        <f t="shared" si="72"/>
        <v>87.1</v>
      </c>
      <c r="H581" s="64">
        <f t="shared" si="73"/>
        <v>87.1</v>
      </c>
    </row>
    <row r="582" spans="2:10" hidden="1" outlineLevel="2" x14ac:dyDescent="0.25">
      <c r="B582" s="1" t="s">
        <v>98</v>
      </c>
      <c r="C582" s="44">
        <v>574.99</v>
      </c>
      <c r="E582" s="50">
        <v>1</v>
      </c>
      <c r="F582" s="50">
        <v>1</v>
      </c>
      <c r="G582" s="64">
        <f t="shared" si="72"/>
        <v>574.99</v>
      </c>
      <c r="H582" s="64">
        <f t="shared" si="73"/>
        <v>574.99</v>
      </c>
    </row>
    <row r="583" spans="2:10" hidden="1" outlineLevel="2" x14ac:dyDescent="0.25">
      <c r="B583" s="1" t="s">
        <v>99</v>
      </c>
      <c r="C583" s="44">
        <v>18766.14</v>
      </c>
      <c r="E583" s="50">
        <v>1</v>
      </c>
      <c r="F583" s="50">
        <v>1</v>
      </c>
      <c r="G583" s="64">
        <f t="shared" si="72"/>
        <v>18766.14</v>
      </c>
      <c r="H583" s="64">
        <f t="shared" si="73"/>
        <v>18766.14</v>
      </c>
    </row>
    <row r="584" spans="2:10" hidden="1" outlineLevel="2" x14ac:dyDescent="0.25">
      <c r="B584" s="1" t="s">
        <v>100</v>
      </c>
      <c r="C584" s="44">
        <v>11214.79</v>
      </c>
      <c r="E584" s="50">
        <v>1</v>
      </c>
      <c r="F584" s="50">
        <v>1</v>
      </c>
      <c r="G584" s="64">
        <f t="shared" si="72"/>
        <v>11214.79</v>
      </c>
      <c r="H584" s="64">
        <f t="shared" si="73"/>
        <v>11214.79</v>
      </c>
    </row>
    <row r="585" spans="2:10" hidden="1" outlineLevel="2" x14ac:dyDescent="0.25">
      <c r="B585" s="1" t="s">
        <v>101</v>
      </c>
      <c r="C585" s="44">
        <v>5062.1499999999996</v>
      </c>
      <c r="E585" s="50">
        <v>1</v>
      </c>
      <c r="F585" s="50">
        <v>1</v>
      </c>
      <c r="G585" s="64">
        <f t="shared" si="72"/>
        <v>5062.1499999999996</v>
      </c>
      <c r="H585" s="64">
        <f t="shared" si="73"/>
        <v>5062.1499999999996</v>
      </c>
    </row>
    <row r="586" spans="2:10" hidden="1" outlineLevel="2" x14ac:dyDescent="0.25">
      <c r="B586" s="1" t="s">
        <v>102</v>
      </c>
      <c r="C586" s="44">
        <v>7598.06</v>
      </c>
      <c r="E586" s="50">
        <v>1</v>
      </c>
      <c r="F586" s="50">
        <v>1</v>
      </c>
      <c r="G586" s="64">
        <f t="shared" si="72"/>
        <v>7598.06</v>
      </c>
      <c r="H586" s="64">
        <f t="shared" si="73"/>
        <v>7598.06</v>
      </c>
    </row>
    <row r="587" spans="2:10" hidden="1" outlineLevel="2" x14ac:dyDescent="0.25">
      <c r="B587" s="1" t="s">
        <v>103</v>
      </c>
      <c r="C587" s="44">
        <v>14734.01</v>
      </c>
      <c r="E587" s="50">
        <v>1</v>
      </c>
      <c r="F587" s="50">
        <v>1</v>
      </c>
      <c r="G587" s="64">
        <f t="shared" si="72"/>
        <v>14734.01</v>
      </c>
      <c r="H587" s="64">
        <f t="shared" si="73"/>
        <v>14734.01</v>
      </c>
    </row>
    <row r="588" spans="2:10" hidden="1" outlineLevel="2" x14ac:dyDescent="0.25">
      <c r="B588" s="1" t="s">
        <v>104</v>
      </c>
      <c r="C588" s="44">
        <v>50517.75</v>
      </c>
      <c r="E588" s="50">
        <v>1</v>
      </c>
      <c r="F588" s="50">
        <v>1</v>
      </c>
      <c r="G588" s="64">
        <f t="shared" si="72"/>
        <v>50517.75</v>
      </c>
      <c r="H588" s="64">
        <f t="shared" si="73"/>
        <v>50517.75</v>
      </c>
    </row>
    <row r="589" spans="2:10" hidden="1" outlineLevel="2" x14ac:dyDescent="0.25">
      <c r="B589" s="1" t="s">
        <v>105</v>
      </c>
      <c r="C589" s="44">
        <v>2501.31</v>
      </c>
      <c r="E589" s="50">
        <v>1</v>
      </c>
      <c r="F589" s="50">
        <v>1</v>
      </c>
      <c r="G589" s="64">
        <f t="shared" si="72"/>
        <v>2501.31</v>
      </c>
      <c r="H589" s="64">
        <f t="shared" si="73"/>
        <v>2501.31</v>
      </c>
    </row>
    <row r="590" spans="2:10" hidden="1" outlineLevel="2" x14ac:dyDescent="0.25">
      <c r="B590" s="1" t="s">
        <v>106</v>
      </c>
      <c r="C590" s="44">
        <v>13441.06</v>
      </c>
      <c r="E590" s="50">
        <v>1</v>
      </c>
      <c r="F590" s="50">
        <v>1</v>
      </c>
      <c r="G590" s="64">
        <f t="shared" si="72"/>
        <v>13441.06</v>
      </c>
      <c r="H590" s="64">
        <f t="shared" si="73"/>
        <v>13441.06</v>
      </c>
    </row>
    <row r="591" spans="2:10" hidden="1" outlineLevel="2" x14ac:dyDescent="0.25">
      <c r="B591" s="1" t="s">
        <v>107</v>
      </c>
      <c r="C591" s="44">
        <v>26888.5</v>
      </c>
      <c r="E591" s="50">
        <v>1</v>
      </c>
      <c r="F591" s="50">
        <v>1</v>
      </c>
      <c r="G591" s="64">
        <f t="shared" si="72"/>
        <v>26888.5</v>
      </c>
      <c r="H591" s="64">
        <f t="shared" si="73"/>
        <v>26888.5</v>
      </c>
    </row>
    <row r="592" spans="2:10" outlineLevel="1" collapsed="1" x14ac:dyDescent="0.25">
      <c r="B592" s="60" t="s">
        <v>110</v>
      </c>
      <c r="C592" s="61">
        <v>167033.85</v>
      </c>
      <c r="E592" s="62">
        <f>+G592/C592</f>
        <v>0.99999999999999978</v>
      </c>
      <c r="F592" s="62">
        <f>+H592/C592</f>
        <v>0.38857211876514841</v>
      </c>
      <c r="G592" s="63">
        <f>SUM(G593:G606)</f>
        <v>167033.84999999998</v>
      </c>
      <c r="H592" s="63">
        <f>SUM(H593:H606)</f>
        <v>64904.696999999986</v>
      </c>
      <c r="J592" s="96">
        <f t="shared" ref="J592" si="74">+F592-E592</f>
        <v>-0.61142788123485137</v>
      </c>
    </row>
    <row r="593" spans="2:8" outlineLevel="2" x14ac:dyDescent="0.25">
      <c r="B593" s="1" t="s">
        <v>111</v>
      </c>
      <c r="C593" s="44">
        <v>0</v>
      </c>
      <c r="E593" s="50">
        <v>1</v>
      </c>
      <c r="F593" s="50">
        <v>1</v>
      </c>
      <c r="G593" s="64">
        <f t="shared" ref="G593:G606" si="75">+E593*C593</f>
        <v>0</v>
      </c>
      <c r="H593" s="64">
        <f t="shared" ref="H593:H606" si="76">+F593*C593</f>
        <v>0</v>
      </c>
    </row>
    <row r="594" spans="2:8" outlineLevel="2" x14ac:dyDescent="0.25">
      <c r="B594" s="1" t="s">
        <v>112</v>
      </c>
      <c r="C594" s="44">
        <v>25106.13</v>
      </c>
      <c r="E594" s="50">
        <v>1</v>
      </c>
      <c r="F594" s="50">
        <v>0.5</v>
      </c>
      <c r="G594" s="64">
        <f t="shared" si="75"/>
        <v>25106.13</v>
      </c>
      <c r="H594" s="64">
        <f t="shared" si="76"/>
        <v>12553.065000000001</v>
      </c>
    </row>
    <row r="595" spans="2:8" outlineLevel="2" x14ac:dyDescent="0.25">
      <c r="B595" s="1" t="s">
        <v>114</v>
      </c>
      <c r="C595" s="44">
        <v>19843.650000000001</v>
      </c>
      <c r="E595" s="50">
        <v>1</v>
      </c>
      <c r="F595" s="50">
        <v>0.5</v>
      </c>
      <c r="G595" s="64">
        <f t="shared" si="75"/>
        <v>19843.650000000001</v>
      </c>
      <c r="H595" s="64">
        <f t="shared" si="76"/>
        <v>9921.8250000000007</v>
      </c>
    </row>
    <row r="596" spans="2:8" outlineLevel="2" x14ac:dyDescent="0.25">
      <c r="B596" s="1" t="s">
        <v>115</v>
      </c>
      <c r="C596" s="44">
        <v>2267.86</v>
      </c>
      <c r="E596" s="50">
        <v>1</v>
      </c>
      <c r="F596" s="50">
        <v>0.5</v>
      </c>
      <c r="G596" s="64">
        <f t="shared" si="75"/>
        <v>2267.86</v>
      </c>
      <c r="H596" s="64">
        <f t="shared" si="76"/>
        <v>1133.93</v>
      </c>
    </row>
    <row r="597" spans="2:8" outlineLevel="2" x14ac:dyDescent="0.25">
      <c r="B597" s="1" t="s">
        <v>116</v>
      </c>
      <c r="C597" s="44">
        <v>3146.27</v>
      </c>
      <c r="E597" s="50">
        <v>1</v>
      </c>
      <c r="F597" s="50">
        <v>0.5</v>
      </c>
      <c r="G597" s="64">
        <f t="shared" si="75"/>
        <v>3146.27</v>
      </c>
      <c r="H597" s="64">
        <f t="shared" si="76"/>
        <v>1573.135</v>
      </c>
    </row>
    <row r="598" spans="2:8" outlineLevel="2" x14ac:dyDescent="0.25">
      <c r="B598" s="1" t="s">
        <v>117</v>
      </c>
      <c r="C598" s="44">
        <v>6981.21</v>
      </c>
      <c r="E598" s="50">
        <v>1</v>
      </c>
      <c r="F598" s="50">
        <v>0.5</v>
      </c>
      <c r="G598" s="64">
        <f t="shared" si="75"/>
        <v>6981.21</v>
      </c>
      <c r="H598" s="64">
        <f t="shared" si="76"/>
        <v>3490.605</v>
      </c>
    </row>
    <row r="599" spans="2:8" outlineLevel="2" x14ac:dyDescent="0.25">
      <c r="B599" s="1" t="s">
        <v>120</v>
      </c>
      <c r="C599" s="44">
        <v>21736.69</v>
      </c>
      <c r="E599" s="50">
        <v>1</v>
      </c>
      <c r="F599" s="50">
        <v>0</v>
      </c>
      <c r="G599" s="64">
        <f t="shared" si="75"/>
        <v>21736.69</v>
      </c>
      <c r="H599" s="64">
        <f t="shared" si="76"/>
        <v>0</v>
      </c>
    </row>
    <row r="600" spans="2:8" outlineLevel="2" x14ac:dyDescent="0.25">
      <c r="B600" s="1" t="s">
        <v>121</v>
      </c>
      <c r="C600" s="44">
        <v>6832.58</v>
      </c>
      <c r="E600" s="50">
        <v>1</v>
      </c>
      <c r="F600" s="50">
        <v>0</v>
      </c>
      <c r="G600" s="64">
        <f t="shared" si="75"/>
        <v>6832.58</v>
      </c>
      <c r="H600" s="64">
        <f t="shared" si="76"/>
        <v>0</v>
      </c>
    </row>
    <row r="601" spans="2:8" outlineLevel="2" x14ac:dyDescent="0.25">
      <c r="B601" s="1" t="s">
        <v>122</v>
      </c>
      <c r="C601" s="44">
        <v>7108.11</v>
      </c>
      <c r="E601" s="50">
        <v>1</v>
      </c>
      <c r="F601" s="50">
        <v>0</v>
      </c>
      <c r="G601" s="64">
        <f t="shared" si="75"/>
        <v>7108.11</v>
      </c>
      <c r="H601" s="64">
        <f t="shared" si="76"/>
        <v>0</v>
      </c>
    </row>
    <row r="602" spans="2:8" outlineLevel="2" x14ac:dyDescent="0.25">
      <c r="B602" s="1" t="s">
        <v>123</v>
      </c>
      <c r="C602" s="44">
        <v>18986.43</v>
      </c>
      <c r="E602" s="50">
        <v>1</v>
      </c>
      <c r="F602" s="50">
        <v>0.5</v>
      </c>
      <c r="G602" s="64">
        <f t="shared" si="75"/>
        <v>18986.43</v>
      </c>
      <c r="H602" s="64">
        <f t="shared" si="76"/>
        <v>9493.2150000000001</v>
      </c>
    </row>
    <row r="603" spans="2:8" outlineLevel="2" x14ac:dyDescent="0.25">
      <c r="B603" s="1" t="s">
        <v>124</v>
      </c>
      <c r="C603" s="44">
        <v>52446.46</v>
      </c>
      <c r="E603" s="50">
        <v>1</v>
      </c>
      <c r="F603" s="50">
        <v>0.5</v>
      </c>
      <c r="G603" s="64">
        <f t="shared" si="75"/>
        <v>52446.46</v>
      </c>
      <c r="H603" s="64">
        <f t="shared" si="76"/>
        <v>26223.23</v>
      </c>
    </row>
    <row r="604" spans="2:8" outlineLevel="2" x14ac:dyDescent="0.25">
      <c r="B604" s="1" t="s">
        <v>301</v>
      </c>
      <c r="C604" s="44">
        <v>1637.54</v>
      </c>
      <c r="E604" s="50">
        <v>1</v>
      </c>
      <c r="F604" s="50">
        <v>0.2</v>
      </c>
      <c r="G604" s="64">
        <f t="shared" si="75"/>
        <v>1637.54</v>
      </c>
      <c r="H604" s="64">
        <f t="shared" si="76"/>
        <v>327.50800000000004</v>
      </c>
    </row>
    <row r="605" spans="2:8" outlineLevel="2" x14ac:dyDescent="0.25">
      <c r="B605" s="1" t="s">
        <v>90</v>
      </c>
      <c r="C605" s="44">
        <v>470.46</v>
      </c>
      <c r="E605" s="50">
        <v>1</v>
      </c>
      <c r="F605" s="50">
        <v>0.2</v>
      </c>
      <c r="G605" s="64">
        <f t="shared" si="75"/>
        <v>470.46</v>
      </c>
      <c r="H605" s="64">
        <f t="shared" si="76"/>
        <v>94.091999999999999</v>
      </c>
    </row>
    <row r="606" spans="2:8" outlineLevel="2" x14ac:dyDescent="0.25">
      <c r="B606" s="1" t="s">
        <v>91</v>
      </c>
      <c r="C606" s="44">
        <v>470.46</v>
      </c>
      <c r="E606" s="50">
        <v>1</v>
      </c>
      <c r="F606" s="50">
        <v>0.2</v>
      </c>
      <c r="G606" s="64">
        <f t="shared" si="75"/>
        <v>470.46</v>
      </c>
      <c r="H606" s="64">
        <f t="shared" si="76"/>
        <v>94.091999999999999</v>
      </c>
    </row>
    <row r="607" spans="2:8" outlineLevel="1" x14ac:dyDescent="0.25">
      <c r="B607" s="60" t="s">
        <v>125</v>
      </c>
      <c r="C607" s="61">
        <v>26683.07</v>
      </c>
      <c r="E607" s="62">
        <f>+G607/C607</f>
        <v>0.5</v>
      </c>
      <c r="F607" s="62">
        <v>0.55000000000000004</v>
      </c>
      <c r="G607" s="63">
        <f>+G608</f>
        <v>13341.535</v>
      </c>
      <c r="H607" s="63">
        <f>+H608</f>
        <v>0</v>
      </c>
    </row>
    <row r="608" spans="2:8" hidden="1" outlineLevel="2" x14ac:dyDescent="0.25">
      <c r="B608" s="1" t="s">
        <v>126</v>
      </c>
      <c r="C608" s="44">
        <v>26683.07</v>
      </c>
      <c r="E608" s="50">
        <v>0.5</v>
      </c>
      <c r="F608" s="50">
        <v>0</v>
      </c>
      <c r="G608" s="64">
        <f>+E608*C608</f>
        <v>13341.535</v>
      </c>
      <c r="H608" s="64">
        <f>+F608*C608</f>
        <v>0</v>
      </c>
    </row>
    <row r="609" spans="2:8" outlineLevel="1" collapsed="1" x14ac:dyDescent="0.25">
      <c r="B609" s="60" t="s">
        <v>461</v>
      </c>
      <c r="C609" s="61">
        <v>203007.14</v>
      </c>
      <c r="E609" s="62">
        <f>+G609/C609</f>
        <v>0.70266543334387122</v>
      </c>
      <c r="F609" s="62">
        <f>+H609/C609</f>
        <v>0</v>
      </c>
      <c r="G609" s="63">
        <f>SUM(G610:G634)</f>
        <v>142646.09999999995</v>
      </c>
      <c r="H609" s="63">
        <f>SUM(H610:H634)</f>
        <v>0</v>
      </c>
    </row>
    <row r="610" spans="2:8" hidden="1" outlineLevel="2" x14ac:dyDescent="0.25">
      <c r="B610" s="1" t="s">
        <v>302</v>
      </c>
      <c r="C610" s="44">
        <v>12050.32</v>
      </c>
      <c r="E610" s="50">
        <v>1</v>
      </c>
      <c r="F610" s="50">
        <v>0</v>
      </c>
      <c r="G610" s="64">
        <f t="shared" ref="G610:G634" si="77">+E610*C610</f>
        <v>12050.32</v>
      </c>
      <c r="H610" s="64">
        <f t="shared" ref="H610:H634" si="78">+F610*C610</f>
        <v>0</v>
      </c>
    </row>
    <row r="611" spans="2:8" hidden="1" outlineLevel="2" x14ac:dyDescent="0.25">
      <c r="B611" s="1" t="s">
        <v>303</v>
      </c>
      <c r="C611" s="44">
        <v>7601.03</v>
      </c>
      <c r="E611" s="50">
        <v>1</v>
      </c>
      <c r="F611" s="50">
        <v>0</v>
      </c>
      <c r="G611" s="64">
        <f t="shared" si="77"/>
        <v>7601.03</v>
      </c>
      <c r="H611" s="64">
        <f t="shared" si="78"/>
        <v>0</v>
      </c>
    </row>
    <row r="612" spans="2:8" hidden="1" outlineLevel="2" x14ac:dyDescent="0.25">
      <c r="B612" s="1" t="s">
        <v>138</v>
      </c>
      <c r="C612" s="44">
        <v>975.71</v>
      </c>
      <c r="E612" s="50">
        <v>1</v>
      </c>
      <c r="F612" s="50">
        <v>0</v>
      </c>
      <c r="G612" s="64">
        <f t="shared" si="77"/>
        <v>975.71</v>
      </c>
      <c r="H612" s="64">
        <f t="shared" si="78"/>
        <v>0</v>
      </c>
    </row>
    <row r="613" spans="2:8" hidden="1" outlineLevel="2" x14ac:dyDescent="0.25">
      <c r="B613" s="1" t="s">
        <v>304</v>
      </c>
      <c r="C613" s="44">
        <v>1982.23</v>
      </c>
      <c r="E613" s="50">
        <v>1</v>
      </c>
      <c r="F613" s="50">
        <v>0</v>
      </c>
      <c r="G613" s="64">
        <f t="shared" si="77"/>
        <v>1982.23</v>
      </c>
      <c r="H613" s="64">
        <f t="shared" si="78"/>
        <v>0</v>
      </c>
    </row>
    <row r="614" spans="2:8" hidden="1" outlineLevel="2" x14ac:dyDescent="0.25">
      <c r="B614" s="1" t="s">
        <v>136</v>
      </c>
      <c r="C614" s="44">
        <v>1165.56</v>
      </c>
      <c r="E614" s="50">
        <v>1</v>
      </c>
      <c r="F614" s="50">
        <v>0</v>
      </c>
      <c r="G614" s="64">
        <f t="shared" si="77"/>
        <v>1165.56</v>
      </c>
      <c r="H614" s="64">
        <f t="shared" si="78"/>
        <v>0</v>
      </c>
    </row>
    <row r="615" spans="2:8" hidden="1" outlineLevel="2" x14ac:dyDescent="0.25">
      <c r="B615" s="1" t="s">
        <v>137</v>
      </c>
      <c r="C615" s="44">
        <v>11155.31</v>
      </c>
      <c r="E615" s="50">
        <v>1</v>
      </c>
      <c r="F615" s="50">
        <v>0</v>
      </c>
      <c r="G615" s="64">
        <f t="shared" si="77"/>
        <v>11155.31</v>
      </c>
      <c r="H615" s="64">
        <f t="shared" si="78"/>
        <v>0</v>
      </c>
    </row>
    <row r="616" spans="2:8" hidden="1" outlineLevel="2" x14ac:dyDescent="0.25">
      <c r="B616" s="1" t="s">
        <v>305</v>
      </c>
      <c r="C616" s="44">
        <v>8306.69</v>
      </c>
      <c r="E616" s="50">
        <v>1</v>
      </c>
      <c r="F616" s="50">
        <v>0</v>
      </c>
      <c r="G616" s="64">
        <f t="shared" si="77"/>
        <v>8306.69</v>
      </c>
      <c r="H616" s="64">
        <f t="shared" si="78"/>
        <v>0</v>
      </c>
    </row>
    <row r="617" spans="2:8" hidden="1" outlineLevel="2" x14ac:dyDescent="0.25">
      <c r="B617" s="1" t="s">
        <v>306</v>
      </c>
      <c r="C617" s="44">
        <v>1060.23</v>
      </c>
      <c r="E617" s="50">
        <v>1</v>
      </c>
      <c r="F617" s="50">
        <v>0</v>
      </c>
      <c r="G617" s="64">
        <f t="shared" si="77"/>
        <v>1060.23</v>
      </c>
      <c r="H617" s="64">
        <f t="shared" si="78"/>
        <v>0</v>
      </c>
    </row>
    <row r="618" spans="2:8" hidden="1" outlineLevel="2" x14ac:dyDescent="0.25">
      <c r="B618" s="1" t="s">
        <v>307</v>
      </c>
      <c r="C618" s="44">
        <v>22015.54</v>
      </c>
      <c r="E618" s="50">
        <v>1</v>
      </c>
      <c r="F618" s="50">
        <v>0</v>
      </c>
      <c r="G618" s="64">
        <f t="shared" si="77"/>
        <v>22015.54</v>
      </c>
      <c r="H618" s="64">
        <f t="shared" si="78"/>
        <v>0</v>
      </c>
    </row>
    <row r="619" spans="2:8" hidden="1" outlineLevel="2" x14ac:dyDescent="0.25">
      <c r="B619" s="1" t="s">
        <v>308</v>
      </c>
      <c r="C619" s="44">
        <v>2269.54</v>
      </c>
      <c r="E619" s="50">
        <v>1</v>
      </c>
      <c r="F619" s="50">
        <v>0</v>
      </c>
      <c r="G619" s="64">
        <f t="shared" si="77"/>
        <v>2269.54</v>
      </c>
      <c r="H619" s="64">
        <f t="shared" si="78"/>
        <v>0</v>
      </c>
    </row>
    <row r="620" spans="2:8" hidden="1" outlineLevel="2" x14ac:dyDescent="0.25">
      <c r="B620" s="1" t="s">
        <v>309</v>
      </c>
      <c r="C620" s="44">
        <v>1319.5</v>
      </c>
      <c r="E620" s="50">
        <v>1</v>
      </c>
      <c r="F620" s="50">
        <v>0</v>
      </c>
      <c r="G620" s="64">
        <f t="shared" si="77"/>
        <v>1319.5</v>
      </c>
      <c r="H620" s="64">
        <f t="shared" si="78"/>
        <v>0</v>
      </c>
    </row>
    <row r="621" spans="2:8" hidden="1" outlineLevel="2" x14ac:dyDescent="0.25">
      <c r="B621" s="1" t="s">
        <v>139</v>
      </c>
      <c r="C621" s="44">
        <v>3628.43</v>
      </c>
      <c r="E621" s="50">
        <v>1</v>
      </c>
      <c r="F621" s="50">
        <v>0</v>
      </c>
      <c r="G621" s="64">
        <f t="shared" si="77"/>
        <v>3628.43</v>
      </c>
      <c r="H621" s="64">
        <f t="shared" si="78"/>
        <v>0</v>
      </c>
    </row>
    <row r="622" spans="2:8" hidden="1" outlineLevel="2" x14ac:dyDescent="0.25">
      <c r="B622" s="1" t="s">
        <v>310</v>
      </c>
      <c r="C622" s="44">
        <v>1314.66</v>
      </c>
      <c r="E622" s="50">
        <v>1</v>
      </c>
      <c r="F622" s="50">
        <v>0</v>
      </c>
      <c r="G622" s="64">
        <f t="shared" si="77"/>
        <v>1314.66</v>
      </c>
      <c r="H622" s="64">
        <f t="shared" si="78"/>
        <v>0</v>
      </c>
    </row>
    <row r="623" spans="2:8" hidden="1" outlineLevel="2" x14ac:dyDescent="0.25">
      <c r="B623" s="1" t="s">
        <v>311</v>
      </c>
      <c r="C623" s="44">
        <v>20441.740000000002</v>
      </c>
      <c r="E623" s="50">
        <v>1</v>
      </c>
      <c r="F623" s="50">
        <v>0</v>
      </c>
      <c r="G623" s="64">
        <f t="shared" si="77"/>
        <v>20441.740000000002</v>
      </c>
      <c r="H623" s="64">
        <f t="shared" si="78"/>
        <v>0</v>
      </c>
    </row>
    <row r="624" spans="2:8" hidden="1" outlineLevel="2" x14ac:dyDescent="0.25">
      <c r="B624" s="1" t="s">
        <v>141</v>
      </c>
      <c r="C624" s="44">
        <v>57407.360000000001</v>
      </c>
      <c r="E624" s="50">
        <v>0</v>
      </c>
      <c r="F624" s="50">
        <v>0</v>
      </c>
      <c r="G624" s="64">
        <f t="shared" si="77"/>
        <v>0</v>
      </c>
      <c r="H624" s="64">
        <f t="shared" si="78"/>
        <v>0</v>
      </c>
    </row>
    <row r="625" spans="2:8" hidden="1" outlineLevel="2" x14ac:dyDescent="0.25">
      <c r="B625" s="1" t="s">
        <v>105</v>
      </c>
      <c r="C625" s="44">
        <v>2378.69</v>
      </c>
      <c r="E625" s="50">
        <v>0</v>
      </c>
      <c r="F625" s="50">
        <v>0</v>
      </c>
      <c r="G625" s="64">
        <f t="shared" si="77"/>
        <v>0</v>
      </c>
      <c r="H625" s="64">
        <f t="shared" si="78"/>
        <v>0</v>
      </c>
    </row>
    <row r="626" spans="2:8" hidden="1" outlineLevel="2" x14ac:dyDescent="0.25">
      <c r="B626" s="1" t="s">
        <v>140</v>
      </c>
      <c r="C626" s="44">
        <v>33366.230000000003</v>
      </c>
      <c r="E626" s="50">
        <v>1</v>
      </c>
      <c r="F626" s="50">
        <v>0</v>
      </c>
      <c r="G626" s="64">
        <f t="shared" si="77"/>
        <v>33366.230000000003</v>
      </c>
      <c r="H626" s="64">
        <f t="shared" si="78"/>
        <v>0</v>
      </c>
    </row>
    <row r="627" spans="2:8" hidden="1" outlineLevel="2" x14ac:dyDescent="0.25">
      <c r="B627" s="1" t="s">
        <v>142</v>
      </c>
      <c r="C627" s="44">
        <v>4977.22</v>
      </c>
      <c r="E627" s="50">
        <v>1</v>
      </c>
      <c r="F627" s="50">
        <v>0</v>
      </c>
      <c r="G627" s="64">
        <f t="shared" si="77"/>
        <v>4977.22</v>
      </c>
      <c r="H627" s="64">
        <f t="shared" si="78"/>
        <v>0</v>
      </c>
    </row>
    <row r="628" spans="2:8" hidden="1" outlineLevel="2" x14ac:dyDescent="0.25">
      <c r="B628" s="1" t="s">
        <v>143</v>
      </c>
      <c r="C628" s="44">
        <v>5312.02</v>
      </c>
      <c r="E628" s="50">
        <v>1</v>
      </c>
      <c r="F628" s="50">
        <v>0</v>
      </c>
      <c r="G628" s="64">
        <f t="shared" si="77"/>
        <v>5312.02</v>
      </c>
      <c r="H628" s="64">
        <f t="shared" si="78"/>
        <v>0</v>
      </c>
    </row>
    <row r="629" spans="2:8" hidden="1" outlineLevel="2" x14ac:dyDescent="0.25">
      <c r="B629" s="1" t="s">
        <v>312</v>
      </c>
      <c r="C629" s="44">
        <v>717.18</v>
      </c>
      <c r="E629" s="50">
        <v>1</v>
      </c>
      <c r="F629" s="50">
        <v>0</v>
      </c>
      <c r="G629" s="64">
        <f t="shared" si="77"/>
        <v>717.18</v>
      </c>
      <c r="H629" s="64">
        <f t="shared" si="78"/>
        <v>0</v>
      </c>
    </row>
    <row r="630" spans="2:8" hidden="1" outlineLevel="2" x14ac:dyDescent="0.25">
      <c r="B630" s="1" t="s">
        <v>313</v>
      </c>
      <c r="C630" s="44">
        <v>1532.33</v>
      </c>
      <c r="E630" s="50">
        <v>1</v>
      </c>
      <c r="F630" s="50">
        <v>0</v>
      </c>
      <c r="G630" s="64">
        <f t="shared" si="77"/>
        <v>1532.33</v>
      </c>
      <c r="H630" s="64">
        <f t="shared" si="78"/>
        <v>0</v>
      </c>
    </row>
    <row r="631" spans="2:8" hidden="1" outlineLevel="2" x14ac:dyDescent="0.25">
      <c r="B631" s="1" t="s">
        <v>95</v>
      </c>
      <c r="C631" s="44">
        <v>574.99</v>
      </c>
      <c r="E631" s="50">
        <v>0</v>
      </c>
      <c r="F631" s="50">
        <v>0</v>
      </c>
      <c r="G631" s="64">
        <f t="shared" si="77"/>
        <v>0</v>
      </c>
      <c r="H631" s="64">
        <f t="shared" si="78"/>
        <v>0</v>
      </c>
    </row>
    <row r="632" spans="2:8" hidden="1" outlineLevel="2" x14ac:dyDescent="0.25">
      <c r="B632" s="1" t="s">
        <v>314</v>
      </c>
      <c r="C632" s="44">
        <v>402.9</v>
      </c>
      <c r="E632" s="50">
        <v>1</v>
      </c>
      <c r="F632" s="50">
        <v>0</v>
      </c>
      <c r="G632" s="64">
        <f t="shared" si="77"/>
        <v>402.9</v>
      </c>
      <c r="H632" s="64">
        <f t="shared" si="78"/>
        <v>0</v>
      </c>
    </row>
    <row r="633" spans="2:8" hidden="1" outlineLevel="2" x14ac:dyDescent="0.25">
      <c r="B633" s="1" t="s">
        <v>315</v>
      </c>
      <c r="C633" s="44">
        <v>476.74</v>
      </c>
      <c r="E633" s="50">
        <v>1</v>
      </c>
      <c r="F633" s="50">
        <v>0</v>
      </c>
      <c r="G633" s="64">
        <f t="shared" si="77"/>
        <v>476.74</v>
      </c>
      <c r="H633" s="64">
        <f t="shared" si="78"/>
        <v>0</v>
      </c>
    </row>
    <row r="634" spans="2:8" hidden="1" outlineLevel="2" x14ac:dyDescent="0.25">
      <c r="B634" s="1" t="s">
        <v>98</v>
      </c>
      <c r="C634" s="44">
        <v>574.99</v>
      </c>
      <c r="E634" s="50">
        <v>1</v>
      </c>
      <c r="F634" s="50">
        <v>0</v>
      </c>
      <c r="G634" s="64">
        <f t="shared" si="77"/>
        <v>574.99</v>
      </c>
      <c r="H634" s="64">
        <f t="shared" si="78"/>
        <v>0</v>
      </c>
    </row>
    <row r="635" spans="2:8" outlineLevel="1" collapsed="1" x14ac:dyDescent="0.25">
      <c r="B635" s="60" t="s">
        <v>148</v>
      </c>
      <c r="C635" s="61">
        <v>226919.92</v>
      </c>
      <c r="E635" s="62">
        <f>+G635/C635</f>
        <v>0</v>
      </c>
      <c r="F635" s="62">
        <f>+H635/C635</f>
        <v>0</v>
      </c>
      <c r="G635" s="63">
        <f>SUM(G636:G648)</f>
        <v>0</v>
      </c>
      <c r="H635" s="63">
        <f>SUM(H636:H648)</f>
        <v>0</v>
      </c>
    </row>
    <row r="636" spans="2:8" hidden="1" outlineLevel="2" x14ac:dyDescent="0.25">
      <c r="B636" s="1" t="s">
        <v>149</v>
      </c>
      <c r="C636" s="44">
        <v>0</v>
      </c>
      <c r="E636" s="50">
        <v>0</v>
      </c>
      <c r="F636" s="50">
        <v>0</v>
      </c>
      <c r="G636" s="64">
        <f t="shared" ref="G636:G648" si="79">+E636*C636</f>
        <v>0</v>
      </c>
      <c r="H636" s="64">
        <f t="shared" ref="H636:H648" si="80">+F636*C636</f>
        <v>0</v>
      </c>
    </row>
    <row r="637" spans="2:8" hidden="1" outlineLevel="2" x14ac:dyDescent="0.25">
      <c r="B637" s="1" t="s">
        <v>112</v>
      </c>
      <c r="C637" s="44">
        <v>28730.91</v>
      </c>
      <c r="E637" s="50">
        <v>0</v>
      </c>
      <c r="F637" s="50">
        <v>0</v>
      </c>
      <c r="G637" s="64">
        <f t="shared" si="79"/>
        <v>0</v>
      </c>
      <c r="H637" s="64">
        <f t="shared" si="80"/>
        <v>0</v>
      </c>
    </row>
    <row r="638" spans="2:8" hidden="1" outlineLevel="2" x14ac:dyDescent="0.25">
      <c r="B638" s="1" t="s">
        <v>113</v>
      </c>
      <c r="C638" s="44">
        <v>13836.35</v>
      </c>
      <c r="E638" s="50">
        <v>0</v>
      </c>
      <c r="F638" s="50">
        <v>0</v>
      </c>
      <c r="G638" s="64">
        <f t="shared" si="79"/>
        <v>0</v>
      </c>
      <c r="H638" s="64">
        <f t="shared" si="80"/>
        <v>0</v>
      </c>
    </row>
    <row r="639" spans="2:8" hidden="1" outlineLevel="2" x14ac:dyDescent="0.25">
      <c r="B639" s="1" t="s">
        <v>115</v>
      </c>
      <c r="C639" s="44">
        <v>4849.9399999999996</v>
      </c>
      <c r="E639" s="50">
        <v>0</v>
      </c>
      <c r="F639" s="50">
        <v>0</v>
      </c>
      <c r="G639" s="64">
        <f t="shared" si="79"/>
        <v>0</v>
      </c>
      <c r="H639" s="64">
        <f t="shared" si="80"/>
        <v>0</v>
      </c>
    </row>
    <row r="640" spans="2:8" hidden="1" outlineLevel="2" x14ac:dyDescent="0.25">
      <c r="B640" s="1" t="s">
        <v>116</v>
      </c>
      <c r="C640" s="44">
        <v>7235.14</v>
      </c>
      <c r="E640" s="50">
        <v>0</v>
      </c>
      <c r="F640" s="50">
        <v>0</v>
      </c>
      <c r="G640" s="64">
        <f t="shared" si="79"/>
        <v>0</v>
      </c>
      <c r="H640" s="64">
        <f t="shared" si="80"/>
        <v>0</v>
      </c>
    </row>
    <row r="641" spans="2:8" hidden="1" outlineLevel="2" x14ac:dyDescent="0.25">
      <c r="B641" s="1" t="s">
        <v>316</v>
      </c>
      <c r="C641" s="44">
        <v>3264.93</v>
      </c>
      <c r="E641" s="50">
        <v>0</v>
      </c>
      <c r="F641" s="50">
        <v>0</v>
      </c>
      <c r="G641" s="64">
        <f t="shared" si="79"/>
        <v>0</v>
      </c>
      <c r="H641" s="64">
        <f t="shared" si="80"/>
        <v>0</v>
      </c>
    </row>
    <row r="642" spans="2:8" hidden="1" outlineLevel="2" x14ac:dyDescent="0.25">
      <c r="B642" s="1" t="s">
        <v>317</v>
      </c>
      <c r="C642" s="44">
        <v>14238.46</v>
      </c>
      <c r="E642" s="50">
        <v>0</v>
      </c>
      <c r="F642" s="50">
        <v>0</v>
      </c>
      <c r="G642" s="64">
        <f t="shared" si="79"/>
        <v>0</v>
      </c>
      <c r="H642" s="64">
        <f t="shared" si="80"/>
        <v>0</v>
      </c>
    </row>
    <row r="643" spans="2:8" hidden="1" outlineLevel="2" x14ac:dyDescent="0.25">
      <c r="B643" s="1" t="s">
        <v>120</v>
      </c>
      <c r="C643" s="44">
        <v>25086.720000000001</v>
      </c>
      <c r="E643" s="50">
        <v>0</v>
      </c>
      <c r="F643" s="50">
        <v>0</v>
      </c>
      <c r="G643" s="64">
        <f t="shared" si="79"/>
        <v>0</v>
      </c>
      <c r="H643" s="64">
        <f t="shared" si="80"/>
        <v>0</v>
      </c>
    </row>
    <row r="644" spans="2:8" hidden="1" outlineLevel="2" x14ac:dyDescent="0.25">
      <c r="B644" s="1" t="s">
        <v>121</v>
      </c>
      <c r="C644" s="44">
        <v>18304.060000000001</v>
      </c>
      <c r="E644" s="50">
        <v>0</v>
      </c>
      <c r="F644" s="50">
        <v>0</v>
      </c>
      <c r="G644" s="64">
        <f t="shared" si="79"/>
        <v>0</v>
      </c>
      <c r="H644" s="64">
        <f t="shared" si="80"/>
        <v>0</v>
      </c>
    </row>
    <row r="645" spans="2:8" hidden="1" outlineLevel="2" x14ac:dyDescent="0.25">
      <c r="B645" s="1" t="s">
        <v>122</v>
      </c>
      <c r="C645" s="44">
        <v>20409.62</v>
      </c>
      <c r="E645" s="50">
        <v>0</v>
      </c>
      <c r="F645" s="50">
        <v>0</v>
      </c>
      <c r="G645" s="64">
        <f t="shared" si="79"/>
        <v>0</v>
      </c>
      <c r="H645" s="64">
        <f t="shared" si="80"/>
        <v>0</v>
      </c>
    </row>
    <row r="646" spans="2:8" hidden="1" outlineLevel="2" x14ac:dyDescent="0.25">
      <c r="B646" s="1" t="s">
        <v>123</v>
      </c>
      <c r="C646" s="44">
        <v>38435.51</v>
      </c>
      <c r="E646" s="50">
        <v>0</v>
      </c>
      <c r="F646" s="50">
        <v>0</v>
      </c>
      <c r="G646" s="64">
        <f t="shared" si="79"/>
        <v>0</v>
      </c>
      <c r="H646" s="64">
        <f t="shared" si="80"/>
        <v>0</v>
      </c>
    </row>
    <row r="647" spans="2:8" hidden="1" outlineLevel="2" x14ac:dyDescent="0.25">
      <c r="B647" s="1" t="s">
        <v>150</v>
      </c>
      <c r="C647" s="44">
        <v>51569.72</v>
      </c>
      <c r="E647" s="50">
        <v>0</v>
      </c>
      <c r="F647" s="50">
        <v>0</v>
      </c>
      <c r="G647" s="64">
        <f t="shared" si="79"/>
        <v>0</v>
      </c>
      <c r="H647" s="64">
        <f t="shared" si="80"/>
        <v>0</v>
      </c>
    </row>
    <row r="648" spans="2:8" hidden="1" outlineLevel="2" x14ac:dyDescent="0.25">
      <c r="B648" s="1" t="s">
        <v>318</v>
      </c>
      <c r="C648" s="44">
        <v>958.56</v>
      </c>
      <c r="E648" s="50">
        <v>0</v>
      </c>
      <c r="F648" s="50">
        <v>0</v>
      </c>
      <c r="G648" s="64">
        <f t="shared" si="79"/>
        <v>0</v>
      </c>
      <c r="H648" s="64">
        <f t="shared" si="80"/>
        <v>0</v>
      </c>
    </row>
    <row r="649" spans="2:8" outlineLevel="1" collapsed="1" x14ac:dyDescent="0.25">
      <c r="B649" s="60" t="s">
        <v>151</v>
      </c>
      <c r="C649" s="61">
        <v>126484.85</v>
      </c>
      <c r="E649" s="62"/>
      <c r="F649" s="62"/>
      <c r="G649" s="63"/>
      <c r="H649" s="63"/>
    </row>
    <row r="650" spans="2:8" hidden="1" outlineLevel="2" x14ac:dyDescent="0.25">
      <c r="B650" s="1" t="s">
        <v>152</v>
      </c>
      <c r="C650" s="44">
        <v>7848.02</v>
      </c>
      <c r="E650" s="50">
        <v>0</v>
      </c>
      <c r="F650" s="50">
        <v>0</v>
      </c>
      <c r="G650" s="64">
        <f t="shared" ref="G650:G667" si="81">+E650*C650</f>
        <v>0</v>
      </c>
      <c r="H650" s="64">
        <f t="shared" ref="H650:H667" si="82">+F650*C650</f>
        <v>0</v>
      </c>
    </row>
    <row r="651" spans="2:8" hidden="1" outlineLevel="2" x14ac:dyDescent="0.25">
      <c r="B651" s="1" t="s">
        <v>319</v>
      </c>
      <c r="C651" s="44">
        <v>9347.3799999999992</v>
      </c>
      <c r="E651" s="50">
        <v>0</v>
      </c>
      <c r="F651" s="50">
        <v>0</v>
      </c>
      <c r="G651" s="64">
        <f t="shared" si="81"/>
        <v>0</v>
      </c>
      <c r="H651" s="64">
        <f t="shared" si="82"/>
        <v>0</v>
      </c>
    </row>
    <row r="652" spans="2:8" hidden="1" outlineLevel="2" x14ac:dyDescent="0.25">
      <c r="B652" s="1" t="s">
        <v>320</v>
      </c>
      <c r="C652" s="44">
        <v>2564.4</v>
      </c>
      <c r="E652" s="50">
        <v>0</v>
      </c>
      <c r="F652" s="50">
        <v>0</v>
      </c>
      <c r="G652" s="64">
        <f t="shared" si="81"/>
        <v>0</v>
      </c>
      <c r="H652" s="64">
        <f t="shared" si="82"/>
        <v>0</v>
      </c>
    </row>
    <row r="653" spans="2:8" hidden="1" outlineLevel="2" x14ac:dyDescent="0.25">
      <c r="B653" s="1" t="s">
        <v>321</v>
      </c>
      <c r="C653" s="44">
        <v>1710.04</v>
      </c>
      <c r="E653" s="50">
        <v>0</v>
      </c>
      <c r="F653" s="50">
        <v>0</v>
      </c>
      <c r="G653" s="64">
        <f t="shared" si="81"/>
        <v>0</v>
      </c>
      <c r="H653" s="64">
        <f t="shared" si="82"/>
        <v>0</v>
      </c>
    </row>
    <row r="654" spans="2:8" hidden="1" outlineLevel="2" x14ac:dyDescent="0.25">
      <c r="B654" s="1" t="s">
        <v>322</v>
      </c>
      <c r="C654" s="44">
        <v>872.84</v>
      </c>
      <c r="E654" s="50">
        <v>0</v>
      </c>
      <c r="F654" s="50">
        <v>0</v>
      </c>
      <c r="G654" s="64">
        <f t="shared" si="81"/>
        <v>0</v>
      </c>
      <c r="H654" s="64">
        <f t="shared" si="82"/>
        <v>0</v>
      </c>
    </row>
    <row r="655" spans="2:8" hidden="1" outlineLevel="2" x14ac:dyDescent="0.25">
      <c r="B655" s="1" t="s">
        <v>323</v>
      </c>
      <c r="C655" s="44">
        <v>463.16</v>
      </c>
      <c r="E655" s="50">
        <v>0</v>
      </c>
      <c r="F655" s="50">
        <v>0</v>
      </c>
      <c r="G655" s="64">
        <f t="shared" si="81"/>
        <v>0</v>
      </c>
      <c r="H655" s="64">
        <f t="shared" si="82"/>
        <v>0</v>
      </c>
    </row>
    <row r="656" spans="2:8" hidden="1" outlineLevel="2" x14ac:dyDescent="0.25">
      <c r="B656" s="1" t="s">
        <v>324</v>
      </c>
      <c r="C656" s="44">
        <v>1923.92</v>
      </c>
      <c r="E656" s="50">
        <v>0</v>
      </c>
      <c r="F656" s="50">
        <v>0</v>
      </c>
      <c r="G656" s="64">
        <f t="shared" si="81"/>
        <v>0</v>
      </c>
      <c r="H656" s="64">
        <f t="shared" si="82"/>
        <v>0</v>
      </c>
    </row>
    <row r="657" spans="2:8" hidden="1" outlineLevel="2" x14ac:dyDescent="0.25">
      <c r="B657" s="1" t="s">
        <v>325</v>
      </c>
      <c r="C657" s="44">
        <v>1683.57</v>
      </c>
      <c r="E657" s="50">
        <v>0</v>
      </c>
      <c r="F657" s="50">
        <v>0</v>
      </c>
      <c r="G657" s="64">
        <f t="shared" si="81"/>
        <v>0</v>
      </c>
      <c r="H657" s="64">
        <f t="shared" si="82"/>
        <v>0</v>
      </c>
    </row>
    <row r="658" spans="2:8" hidden="1" outlineLevel="2" x14ac:dyDescent="0.25">
      <c r="B658" s="1" t="s">
        <v>155</v>
      </c>
      <c r="C658" s="44">
        <v>3634.5</v>
      </c>
      <c r="E658" s="50">
        <v>0</v>
      </c>
      <c r="F658" s="50">
        <v>0</v>
      </c>
      <c r="G658" s="64">
        <f t="shared" si="81"/>
        <v>0</v>
      </c>
      <c r="H658" s="64">
        <f t="shared" si="82"/>
        <v>0</v>
      </c>
    </row>
    <row r="659" spans="2:8" hidden="1" outlineLevel="2" x14ac:dyDescent="0.25">
      <c r="B659" s="1" t="s">
        <v>326</v>
      </c>
      <c r="C659" s="44">
        <v>4115.76</v>
      </c>
      <c r="E659" s="50">
        <v>0</v>
      </c>
      <c r="F659" s="50">
        <v>0</v>
      </c>
      <c r="G659" s="64">
        <f t="shared" si="81"/>
        <v>0</v>
      </c>
      <c r="H659" s="64">
        <f t="shared" si="82"/>
        <v>0</v>
      </c>
    </row>
    <row r="660" spans="2:8" hidden="1" outlineLevel="2" x14ac:dyDescent="0.25">
      <c r="B660" s="1" t="s">
        <v>327</v>
      </c>
      <c r="C660" s="44">
        <v>6948.8</v>
      </c>
      <c r="E660" s="50">
        <v>0</v>
      </c>
      <c r="F660" s="50">
        <v>0</v>
      </c>
      <c r="G660" s="64">
        <f t="shared" si="81"/>
        <v>0</v>
      </c>
      <c r="H660" s="64">
        <f t="shared" si="82"/>
        <v>0</v>
      </c>
    </row>
    <row r="661" spans="2:8" hidden="1" outlineLevel="2" x14ac:dyDescent="0.25">
      <c r="B661" s="1" t="s">
        <v>328</v>
      </c>
      <c r="C661" s="44">
        <v>7983.2</v>
      </c>
      <c r="E661" s="50">
        <v>0</v>
      </c>
      <c r="F661" s="50">
        <v>0</v>
      </c>
      <c r="G661" s="64">
        <f t="shared" si="81"/>
        <v>0</v>
      </c>
      <c r="H661" s="64">
        <f t="shared" si="82"/>
        <v>0</v>
      </c>
    </row>
    <row r="662" spans="2:8" hidden="1" outlineLevel="2" x14ac:dyDescent="0.25">
      <c r="B662" s="1" t="s">
        <v>160</v>
      </c>
      <c r="C662" s="44">
        <v>17107.439999999999</v>
      </c>
      <c r="E662" s="50">
        <v>0</v>
      </c>
      <c r="F662" s="50">
        <v>0</v>
      </c>
      <c r="G662" s="64">
        <f t="shared" si="81"/>
        <v>0</v>
      </c>
      <c r="H662" s="64">
        <f t="shared" si="82"/>
        <v>0</v>
      </c>
    </row>
    <row r="663" spans="2:8" hidden="1" outlineLevel="2" x14ac:dyDescent="0.25">
      <c r="B663" s="1" t="s">
        <v>139</v>
      </c>
      <c r="C663" s="44">
        <v>3974.1</v>
      </c>
      <c r="E663" s="50">
        <v>0</v>
      </c>
      <c r="F663" s="50">
        <v>0</v>
      </c>
      <c r="G663" s="64">
        <f t="shared" si="81"/>
        <v>0</v>
      </c>
      <c r="H663" s="64">
        <f t="shared" si="82"/>
        <v>0</v>
      </c>
    </row>
    <row r="664" spans="2:8" hidden="1" outlineLevel="2" x14ac:dyDescent="0.25">
      <c r="B664" s="1" t="s">
        <v>161</v>
      </c>
      <c r="C664" s="44">
        <v>27590.82</v>
      </c>
      <c r="E664" s="50">
        <v>0</v>
      </c>
      <c r="F664" s="50">
        <v>0</v>
      </c>
      <c r="G664" s="64">
        <f t="shared" si="81"/>
        <v>0</v>
      </c>
      <c r="H664" s="64">
        <f t="shared" si="82"/>
        <v>0</v>
      </c>
    </row>
    <row r="665" spans="2:8" hidden="1" outlineLevel="2" x14ac:dyDescent="0.25">
      <c r="B665" s="1" t="s">
        <v>105</v>
      </c>
      <c r="C665" s="44">
        <v>2488.67</v>
      </c>
      <c r="E665" s="50">
        <v>0</v>
      </c>
      <c r="F665" s="50">
        <v>0</v>
      </c>
      <c r="G665" s="64">
        <f t="shared" si="81"/>
        <v>0</v>
      </c>
      <c r="H665" s="64">
        <f t="shared" si="82"/>
        <v>0</v>
      </c>
    </row>
    <row r="666" spans="2:8" hidden="1" outlineLevel="2" x14ac:dyDescent="0.25">
      <c r="B666" s="1" t="s">
        <v>140</v>
      </c>
      <c r="C666" s="44">
        <v>24031.53</v>
      </c>
      <c r="E666" s="50">
        <v>0</v>
      </c>
      <c r="F666" s="50">
        <v>0</v>
      </c>
      <c r="G666" s="64">
        <f t="shared" si="81"/>
        <v>0</v>
      </c>
      <c r="H666" s="64">
        <f t="shared" si="82"/>
        <v>0</v>
      </c>
    </row>
    <row r="667" spans="2:8" hidden="1" outlineLevel="2" x14ac:dyDescent="0.25">
      <c r="B667" s="1" t="s">
        <v>162</v>
      </c>
      <c r="C667" s="44">
        <v>2196.6999999999998</v>
      </c>
      <c r="E667" s="50">
        <v>0</v>
      </c>
      <c r="F667" s="50">
        <v>0</v>
      </c>
      <c r="G667" s="64">
        <f t="shared" si="81"/>
        <v>0</v>
      </c>
      <c r="H667" s="64">
        <f t="shared" si="82"/>
        <v>0</v>
      </c>
    </row>
    <row r="668" spans="2:8" outlineLevel="1" collapsed="1" x14ac:dyDescent="0.25">
      <c r="B668" s="60" t="s">
        <v>163</v>
      </c>
      <c r="C668" s="61">
        <v>90820.99</v>
      </c>
      <c r="E668" s="62"/>
      <c r="F668" s="62"/>
      <c r="G668" s="63"/>
      <c r="H668" s="63"/>
    </row>
    <row r="669" spans="2:8" hidden="1" outlineLevel="2" x14ac:dyDescent="0.25">
      <c r="B669" s="1" t="s">
        <v>112</v>
      </c>
      <c r="C669" s="44">
        <v>4464.6000000000004</v>
      </c>
      <c r="E669" s="50">
        <v>0</v>
      </c>
      <c r="F669" s="50">
        <v>0</v>
      </c>
      <c r="G669" s="64">
        <f t="shared" ref="G669:G676" si="83">+E669*C669</f>
        <v>0</v>
      </c>
      <c r="H669" s="64">
        <f t="shared" ref="H669:H676" si="84">+F669*C669</f>
        <v>0</v>
      </c>
    </row>
    <row r="670" spans="2:8" hidden="1" outlineLevel="2" x14ac:dyDescent="0.25">
      <c r="B670" s="1" t="s">
        <v>164</v>
      </c>
      <c r="C670" s="44">
        <v>14239.78</v>
      </c>
      <c r="E670" s="50">
        <v>0</v>
      </c>
      <c r="F670" s="50">
        <v>0</v>
      </c>
      <c r="G670" s="64">
        <f t="shared" si="83"/>
        <v>0</v>
      </c>
      <c r="H670" s="64">
        <f t="shared" si="84"/>
        <v>0</v>
      </c>
    </row>
    <row r="671" spans="2:8" hidden="1" outlineLevel="2" x14ac:dyDescent="0.25">
      <c r="B671" s="1" t="s">
        <v>329</v>
      </c>
      <c r="C671" s="44">
        <v>20649.03</v>
      </c>
      <c r="E671" s="50">
        <v>0</v>
      </c>
      <c r="F671" s="50">
        <v>0</v>
      </c>
      <c r="G671" s="64">
        <f t="shared" si="83"/>
        <v>0</v>
      </c>
      <c r="H671" s="64">
        <f t="shared" si="84"/>
        <v>0</v>
      </c>
    </row>
    <row r="672" spans="2:8" hidden="1" outlineLevel="2" x14ac:dyDescent="0.25">
      <c r="B672" s="1" t="s">
        <v>166</v>
      </c>
      <c r="C672" s="44">
        <v>4296.96</v>
      </c>
      <c r="E672" s="50">
        <v>0</v>
      </c>
      <c r="F672" s="50">
        <v>0</v>
      </c>
      <c r="G672" s="64">
        <f t="shared" si="83"/>
        <v>0</v>
      </c>
      <c r="H672" s="64">
        <f t="shared" si="84"/>
        <v>0</v>
      </c>
    </row>
    <row r="673" spans="2:8" hidden="1" outlineLevel="2" x14ac:dyDescent="0.25">
      <c r="B673" s="1" t="s">
        <v>330</v>
      </c>
      <c r="C673" s="44">
        <v>2318.3200000000002</v>
      </c>
      <c r="E673" s="50">
        <v>0</v>
      </c>
      <c r="F673" s="50">
        <v>0</v>
      </c>
      <c r="G673" s="64">
        <f t="shared" si="83"/>
        <v>0</v>
      </c>
      <c r="H673" s="64">
        <f t="shared" si="84"/>
        <v>0</v>
      </c>
    </row>
    <row r="674" spans="2:8" hidden="1" outlineLevel="2" x14ac:dyDescent="0.25">
      <c r="B674" s="1" t="s">
        <v>167</v>
      </c>
      <c r="C674" s="44">
        <v>5749.92</v>
      </c>
      <c r="E674" s="50">
        <v>0</v>
      </c>
      <c r="F674" s="50">
        <v>0</v>
      </c>
      <c r="G674" s="64">
        <f t="shared" si="83"/>
        <v>0</v>
      </c>
      <c r="H674" s="64">
        <f t="shared" si="84"/>
        <v>0</v>
      </c>
    </row>
    <row r="675" spans="2:8" hidden="1" outlineLevel="2" x14ac:dyDescent="0.25">
      <c r="B675" s="1" t="s">
        <v>331</v>
      </c>
      <c r="C675" s="44">
        <v>36613.71</v>
      </c>
      <c r="E675" s="50">
        <v>0</v>
      </c>
      <c r="F675" s="50">
        <v>0</v>
      </c>
      <c r="G675" s="64">
        <f t="shared" si="83"/>
        <v>0</v>
      </c>
      <c r="H675" s="64">
        <f t="shared" si="84"/>
        <v>0</v>
      </c>
    </row>
    <row r="676" spans="2:8" hidden="1" outlineLevel="2" x14ac:dyDescent="0.25">
      <c r="B676" s="1" t="s">
        <v>105</v>
      </c>
      <c r="C676" s="44">
        <v>2488.67</v>
      </c>
      <c r="E676" s="50">
        <v>0</v>
      </c>
      <c r="F676" s="50">
        <v>0</v>
      </c>
      <c r="G676" s="64">
        <f t="shared" si="83"/>
        <v>0</v>
      </c>
      <c r="H676" s="64">
        <f t="shared" si="84"/>
        <v>0</v>
      </c>
    </row>
    <row r="677" spans="2:8" outlineLevel="1" collapsed="1" x14ac:dyDescent="0.25">
      <c r="B677" s="60" t="s">
        <v>169</v>
      </c>
      <c r="C677" s="61">
        <v>7350.66</v>
      </c>
      <c r="E677" s="62"/>
      <c r="F677" s="62"/>
      <c r="G677" s="63"/>
      <c r="H677" s="63"/>
    </row>
    <row r="678" spans="2:8" hidden="1" outlineLevel="2" x14ac:dyDescent="0.25">
      <c r="B678" s="1" t="s">
        <v>170</v>
      </c>
      <c r="C678" s="44">
        <v>5509.8</v>
      </c>
      <c r="E678" s="50">
        <v>0</v>
      </c>
      <c r="F678" s="50">
        <v>0</v>
      </c>
      <c r="G678" s="64">
        <f>+E678*C678</f>
        <v>0</v>
      </c>
      <c r="H678" s="64">
        <f>+F678*C678</f>
        <v>0</v>
      </c>
    </row>
    <row r="679" spans="2:8" hidden="1" outlineLevel="2" x14ac:dyDescent="0.25">
      <c r="B679" s="1" t="s">
        <v>171</v>
      </c>
      <c r="C679" s="44">
        <v>1840.86</v>
      </c>
      <c r="E679" s="50">
        <v>0</v>
      </c>
      <c r="F679" s="50">
        <v>0</v>
      </c>
      <c r="G679" s="64">
        <f>+E679*C679</f>
        <v>0</v>
      </c>
      <c r="H679" s="64">
        <f>+F679*C679</f>
        <v>0</v>
      </c>
    </row>
    <row r="680" spans="2:8" outlineLevel="1" collapsed="1" x14ac:dyDescent="0.25">
      <c r="B680" s="60" t="s">
        <v>172</v>
      </c>
      <c r="C680" s="61">
        <v>25050.720000000001</v>
      </c>
      <c r="E680" s="62"/>
      <c r="F680" s="62"/>
      <c r="G680" s="63"/>
      <c r="H680" s="63"/>
    </row>
    <row r="681" spans="2:8" hidden="1" outlineLevel="2" x14ac:dyDescent="0.25">
      <c r="B681" s="1" t="s">
        <v>173</v>
      </c>
      <c r="C681" s="44">
        <v>3716.95</v>
      </c>
      <c r="E681" s="50">
        <v>0</v>
      </c>
      <c r="F681" s="50">
        <v>0</v>
      </c>
      <c r="G681" s="64">
        <f>+E681*C681</f>
        <v>0</v>
      </c>
      <c r="H681" s="64">
        <f>+F681*C681</f>
        <v>0</v>
      </c>
    </row>
    <row r="682" spans="2:8" hidden="1" outlineLevel="2" x14ac:dyDescent="0.25">
      <c r="B682" s="1" t="s">
        <v>174</v>
      </c>
      <c r="C682" s="44">
        <v>21333.77</v>
      </c>
      <c r="E682" s="50">
        <v>0</v>
      </c>
      <c r="F682" s="50">
        <v>0</v>
      </c>
      <c r="G682" s="64">
        <f>+E682*C682</f>
        <v>0</v>
      </c>
      <c r="H682" s="64">
        <f>+F682*C682</f>
        <v>0</v>
      </c>
    </row>
    <row r="683" spans="2:8" outlineLevel="1" collapsed="1" x14ac:dyDescent="0.25">
      <c r="B683" s="60" t="s">
        <v>175</v>
      </c>
      <c r="C683" s="61">
        <v>188894.05</v>
      </c>
      <c r="E683" s="62"/>
      <c r="F683" s="62"/>
      <c r="G683" s="63"/>
      <c r="H683" s="63"/>
    </row>
    <row r="684" spans="2:8" hidden="1" outlineLevel="2" x14ac:dyDescent="0.25">
      <c r="B684" s="1" t="s">
        <v>176</v>
      </c>
      <c r="C684" s="44">
        <v>2170.59</v>
      </c>
      <c r="E684" s="50">
        <v>0</v>
      </c>
      <c r="F684" s="50">
        <v>0</v>
      </c>
      <c r="G684" s="64">
        <f t="shared" ref="G684:G709" si="85">+E684*C684</f>
        <v>0</v>
      </c>
      <c r="H684" s="64">
        <f t="shared" ref="H684:H709" si="86">+F684*C684</f>
        <v>0</v>
      </c>
    </row>
    <row r="685" spans="2:8" hidden="1" outlineLevel="2" x14ac:dyDescent="0.25">
      <c r="B685" s="1" t="s">
        <v>332</v>
      </c>
      <c r="C685" s="44">
        <v>0</v>
      </c>
      <c r="E685" s="50">
        <v>0</v>
      </c>
      <c r="F685" s="50">
        <v>0</v>
      </c>
      <c r="G685" s="64">
        <f t="shared" si="85"/>
        <v>0</v>
      </c>
      <c r="H685" s="64">
        <f t="shared" si="86"/>
        <v>0</v>
      </c>
    </row>
    <row r="686" spans="2:8" hidden="1" outlineLevel="2" x14ac:dyDescent="0.25">
      <c r="B686" s="1" t="s">
        <v>333</v>
      </c>
      <c r="C686" s="44">
        <v>9159.15</v>
      </c>
      <c r="E686" s="50">
        <v>0</v>
      </c>
      <c r="F686" s="50">
        <v>0</v>
      </c>
      <c r="G686" s="64">
        <f t="shared" si="85"/>
        <v>0</v>
      </c>
      <c r="H686" s="64">
        <f t="shared" si="86"/>
        <v>0</v>
      </c>
    </row>
    <row r="687" spans="2:8" hidden="1" outlineLevel="2" x14ac:dyDescent="0.25">
      <c r="B687" s="1" t="s">
        <v>334</v>
      </c>
      <c r="C687" s="44">
        <v>6332.5</v>
      </c>
      <c r="E687" s="50">
        <v>0</v>
      </c>
      <c r="F687" s="50">
        <v>0</v>
      </c>
      <c r="G687" s="64">
        <f t="shared" si="85"/>
        <v>0</v>
      </c>
      <c r="H687" s="64">
        <f t="shared" si="86"/>
        <v>0</v>
      </c>
    </row>
    <row r="688" spans="2:8" hidden="1" outlineLevel="2" x14ac:dyDescent="0.25">
      <c r="B688" s="1" t="s">
        <v>335</v>
      </c>
      <c r="C688" s="44">
        <v>1656.86</v>
      </c>
      <c r="E688" s="50">
        <v>0</v>
      </c>
      <c r="F688" s="50">
        <v>0</v>
      </c>
      <c r="G688" s="64">
        <f t="shared" si="85"/>
        <v>0</v>
      </c>
      <c r="H688" s="64">
        <f t="shared" si="86"/>
        <v>0</v>
      </c>
    </row>
    <row r="689" spans="2:8" hidden="1" outlineLevel="2" x14ac:dyDescent="0.25">
      <c r="B689" s="1" t="s">
        <v>336</v>
      </c>
      <c r="C689" s="44">
        <v>261.52999999999997</v>
      </c>
      <c r="E689" s="50">
        <v>0</v>
      </c>
      <c r="F689" s="50">
        <v>0</v>
      </c>
      <c r="G689" s="64">
        <f t="shared" si="85"/>
        <v>0</v>
      </c>
      <c r="H689" s="64">
        <f t="shared" si="86"/>
        <v>0</v>
      </c>
    </row>
    <row r="690" spans="2:8" hidden="1" outlineLevel="2" x14ac:dyDescent="0.25">
      <c r="B690" s="1" t="s">
        <v>337</v>
      </c>
      <c r="C690" s="44">
        <v>1615.32</v>
      </c>
      <c r="E690" s="50">
        <v>0</v>
      </c>
      <c r="F690" s="50">
        <v>0</v>
      </c>
      <c r="G690" s="64">
        <f t="shared" si="85"/>
        <v>0</v>
      </c>
      <c r="H690" s="64">
        <f t="shared" si="86"/>
        <v>0</v>
      </c>
    </row>
    <row r="691" spans="2:8" hidden="1" outlineLevel="2" x14ac:dyDescent="0.25">
      <c r="B691" s="1" t="s">
        <v>177</v>
      </c>
      <c r="C691" s="44">
        <v>3892.35</v>
      </c>
      <c r="E691" s="50">
        <v>0</v>
      </c>
      <c r="F691" s="50">
        <v>0</v>
      </c>
      <c r="G691" s="64">
        <f t="shared" si="85"/>
        <v>0</v>
      </c>
      <c r="H691" s="64">
        <f t="shared" si="86"/>
        <v>0</v>
      </c>
    </row>
    <row r="692" spans="2:8" hidden="1" outlineLevel="2" x14ac:dyDescent="0.25">
      <c r="B692" s="1" t="s">
        <v>178</v>
      </c>
      <c r="C692" s="44">
        <v>103.26</v>
      </c>
      <c r="E692" s="50">
        <v>0</v>
      </c>
      <c r="F692" s="50">
        <v>0</v>
      </c>
      <c r="G692" s="64">
        <f t="shared" si="85"/>
        <v>0</v>
      </c>
      <c r="H692" s="64">
        <f t="shared" si="86"/>
        <v>0</v>
      </c>
    </row>
    <row r="693" spans="2:8" hidden="1" outlineLevel="2" x14ac:dyDescent="0.25">
      <c r="B693" s="1" t="s">
        <v>179</v>
      </c>
      <c r="C693" s="44">
        <v>2300.16</v>
      </c>
      <c r="E693" s="50">
        <v>0</v>
      </c>
      <c r="F693" s="50">
        <v>0</v>
      </c>
      <c r="G693" s="64">
        <f t="shared" si="85"/>
        <v>0</v>
      </c>
      <c r="H693" s="64">
        <f t="shared" si="86"/>
        <v>0</v>
      </c>
    </row>
    <row r="694" spans="2:8" hidden="1" outlineLevel="2" x14ac:dyDescent="0.25">
      <c r="B694" s="1" t="s">
        <v>180</v>
      </c>
      <c r="C694" s="44">
        <v>697.01</v>
      </c>
      <c r="E694" s="50">
        <v>0</v>
      </c>
      <c r="F694" s="50">
        <v>0</v>
      </c>
      <c r="G694" s="64">
        <f t="shared" si="85"/>
        <v>0</v>
      </c>
      <c r="H694" s="64">
        <f t="shared" si="86"/>
        <v>0</v>
      </c>
    </row>
    <row r="695" spans="2:8" hidden="1" outlineLevel="2" x14ac:dyDescent="0.25">
      <c r="B695" s="1" t="s">
        <v>95</v>
      </c>
      <c r="C695" s="44">
        <v>574.99</v>
      </c>
      <c r="E695" s="50">
        <v>0</v>
      </c>
      <c r="F695" s="50">
        <v>0</v>
      </c>
      <c r="G695" s="64">
        <f t="shared" si="85"/>
        <v>0</v>
      </c>
      <c r="H695" s="64">
        <f t="shared" si="86"/>
        <v>0</v>
      </c>
    </row>
    <row r="696" spans="2:8" hidden="1" outlineLevel="2" x14ac:dyDescent="0.25">
      <c r="B696" s="1" t="s">
        <v>181</v>
      </c>
      <c r="C696" s="44">
        <v>4001.07</v>
      </c>
      <c r="E696" s="50">
        <v>0</v>
      </c>
      <c r="F696" s="50">
        <v>0</v>
      </c>
      <c r="G696" s="64">
        <f t="shared" si="85"/>
        <v>0</v>
      </c>
      <c r="H696" s="64">
        <f t="shared" si="86"/>
        <v>0</v>
      </c>
    </row>
    <row r="697" spans="2:8" hidden="1" outlineLevel="2" x14ac:dyDescent="0.25">
      <c r="B697" s="1" t="s">
        <v>182</v>
      </c>
      <c r="C697" s="44">
        <v>582.16999999999996</v>
      </c>
      <c r="E697" s="50">
        <v>0</v>
      </c>
      <c r="F697" s="50">
        <v>0</v>
      </c>
      <c r="G697" s="64">
        <f t="shared" si="85"/>
        <v>0</v>
      </c>
      <c r="H697" s="64">
        <f t="shared" si="86"/>
        <v>0</v>
      </c>
    </row>
    <row r="698" spans="2:8" hidden="1" outlineLevel="2" x14ac:dyDescent="0.25">
      <c r="B698" s="1" t="s">
        <v>98</v>
      </c>
      <c r="C698" s="44">
        <v>574.99</v>
      </c>
      <c r="E698" s="50">
        <v>0</v>
      </c>
      <c r="F698" s="50">
        <v>0</v>
      </c>
      <c r="G698" s="64">
        <f t="shared" si="85"/>
        <v>0</v>
      </c>
      <c r="H698" s="64">
        <f t="shared" si="86"/>
        <v>0</v>
      </c>
    </row>
    <row r="699" spans="2:8" hidden="1" outlineLevel="2" x14ac:dyDescent="0.25">
      <c r="B699" s="1" t="s">
        <v>183</v>
      </c>
      <c r="C699" s="44">
        <v>5038.08</v>
      </c>
      <c r="E699" s="50">
        <v>0</v>
      </c>
      <c r="F699" s="50">
        <v>0</v>
      </c>
      <c r="G699" s="64">
        <f t="shared" si="85"/>
        <v>0</v>
      </c>
      <c r="H699" s="64">
        <f t="shared" si="86"/>
        <v>0</v>
      </c>
    </row>
    <row r="700" spans="2:8" hidden="1" outlineLevel="2" x14ac:dyDescent="0.25">
      <c r="B700" s="1" t="s">
        <v>184</v>
      </c>
      <c r="C700" s="44">
        <v>19232.099999999999</v>
      </c>
      <c r="E700" s="50">
        <v>0</v>
      </c>
      <c r="F700" s="50">
        <v>0</v>
      </c>
      <c r="G700" s="64">
        <f t="shared" si="85"/>
        <v>0</v>
      </c>
      <c r="H700" s="64">
        <f t="shared" si="86"/>
        <v>0</v>
      </c>
    </row>
    <row r="701" spans="2:8" hidden="1" outlineLevel="2" x14ac:dyDescent="0.25">
      <c r="B701" s="1" t="s">
        <v>105</v>
      </c>
      <c r="C701" s="44">
        <v>961.86</v>
      </c>
      <c r="E701" s="50">
        <v>0</v>
      </c>
      <c r="F701" s="50">
        <v>0</v>
      </c>
      <c r="G701" s="64">
        <f t="shared" si="85"/>
        <v>0</v>
      </c>
      <c r="H701" s="64">
        <f t="shared" si="86"/>
        <v>0</v>
      </c>
    </row>
    <row r="702" spans="2:8" hidden="1" outlineLevel="2" x14ac:dyDescent="0.25">
      <c r="B702" s="1" t="s">
        <v>185</v>
      </c>
      <c r="C702" s="44">
        <v>34476.089999999997</v>
      </c>
      <c r="E702" s="50">
        <v>0</v>
      </c>
      <c r="F702" s="50">
        <v>0</v>
      </c>
      <c r="G702" s="64">
        <f t="shared" si="85"/>
        <v>0</v>
      </c>
      <c r="H702" s="64">
        <f t="shared" si="86"/>
        <v>0</v>
      </c>
    </row>
    <row r="703" spans="2:8" hidden="1" outlineLevel="2" x14ac:dyDescent="0.25">
      <c r="B703" s="1" t="s">
        <v>186</v>
      </c>
      <c r="C703" s="44">
        <v>7984.25</v>
      </c>
      <c r="E703" s="50">
        <v>0</v>
      </c>
      <c r="F703" s="50">
        <v>0</v>
      </c>
      <c r="G703" s="64">
        <f t="shared" si="85"/>
        <v>0</v>
      </c>
      <c r="H703" s="64">
        <f t="shared" si="86"/>
        <v>0</v>
      </c>
    </row>
    <row r="704" spans="2:8" hidden="1" outlineLevel="2" x14ac:dyDescent="0.25">
      <c r="B704" s="1" t="s">
        <v>105</v>
      </c>
      <c r="C704" s="44">
        <v>399.32</v>
      </c>
      <c r="E704" s="50">
        <v>0</v>
      </c>
      <c r="F704" s="50">
        <v>0</v>
      </c>
      <c r="G704" s="64">
        <f t="shared" si="85"/>
        <v>0</v>
      </c>
      <c r="H704" s="64">
        <f t="shared" si="86"/>
        <v>0</v>
      </c>
    </row>
    <row r="705" spans="2:8" hidden="1" outlineLevel="2" x14ac:dyDescent="0.25">
      <c r="B705" s="1" t="s">
        <v>187</v>
      </c>
      <c r="C705" s="44">
        <v>742.91</v>
      </c>
      <c r="E705" s="50">
        <v>0</v>
      </c>
      <c r="F705" s="50">
        <v>0</v>
      </c>
      <c r="G705" s="64">
        <f t="shared" si="85"/>
        <v>0</v>
      </c>
      <c r="H705" s="64">
        <f t="shared" si="86"/>
        <v>0</v>
      </c>
    </row>
    <row r="706" spans="2:8" hidden="1" outlineLevel="2" x14ac:dyDescent="0.25">
      <c r="B706" s="1" t="s">
        <v>188</v>
      </c>
      <c r="C706" s="44">
        <v>9692.98</v>
      </c>
      <c r="E706" s="50">
        <v>0</v>
      </c>
      <c r="F706" s="50">
        <v>0</v>
      </c>
      <c r="G706" s="64">
        <f t="shared" si="85"/>
        <v>0</v>
      </c>
      <c r="H706" s="64">
        <f t="shared" si="86"/>
        <v>0</v>
      </c>
    </row>
    <row r="707" spans="2:8" hidden="1" outlineLevel="2" x14ac:dyDescent="0.25">
      <c r="B707" s="1" t="s">
        <v>338</v>
      </c>
      <c r="C707" s="44">
        <v>29626.57</v>
      </c>
      <c r="E707" s="50">
        <v>0</v>
      </c>
      <c r="F707" s="50">
        <v>0</v>
      </c>
      <c r="G707" s="64">
        <f t="shared" si="85"/>
        <v>0</v>
      </c>
      <c r="H707" s="64">
        <f t="shared" si="86"/>
        <v>0</v>
      </c>
    </row>
    <row r="708" spans="2:8" hidden="1" outlineLevel="2" x14ac:dyDescent="0.25">
      <c r="B708" s="1" t="s">
        <v>339</v>
      </c>
      <c r="C708" s="44">
        <v>33171.08</v>
      </c>
      <c r="E708" s="50">
        <v>0</v>
      </c>
      <c r="F708" s="50">
        <v>0</v>
      </c>
      <c r="G708" s="64">
        <f t="shared" si="85"/>
        <v>0</v>
      </c>
      <c r="H708" s="64">
        <f t="shared" si="86"/>
        <v>0</v>
      </c>
    </row>
    <row r="709" spans="2:8" hidden="1" outlineLevel="2" x14ac:dyDescent="0.25">
      <c r="B709" s="1" t="s">
        <v>340</v>
      </c>
      <c r="C709" s="44">
        <v>13646.86</v>
      </c>
      <c r="E709" s="50">
        <v>0</v>
      </c>
      <c r="F709" s="50">
        <v>0</v>
      </c>
      <c r="G709" s="64">
        <f t="shared" si="85"/>
        <v>0</v>
      </c>
      <c r="H709" s="64">
        <f t="shared" si="86"/>
        <v>0</v>
      </c>
    </row>
    <row r="710" spans="2:8" outlineLevel="1" collapsed="1" x14ac:dyDescent="0.25">
      <c r="B710" s="60" t="s">
        <v>190</v>
      </c>
      <c r="C710" s="61">
        <v>166532.97</v>
      </c>
      <c r="E710" s="62"/>
      <c r="F710" s="62"/>
      <c r="G710" s="63"/>
      <c r="H710" s="63"/>
    </row>
    <row r="711" spans="2:8" hidden="1" outlineLevel="2" x14ac:dyDescent="0.25">
      <c r="B711" s="1" t="s">
        <v>191</v>
      </c>
      <c r="C711" s="44">
        <v>64808.09</v>
      </c>
      <c r="E711" s="50">
        <v>0</v>
      </c>
      <c r="F711" s="50">
        <v>0</v>
      </c>
      <c r="G711" s="64">
        <f t="shared" ref="G711:G718" si="87">+E711*C711</f>
        <v>0</v>
      </c>
      <c r="H711" s="64">
        <f t="shared" ref="H711:H718" si="88">+F711*C711</f>
        <v>0</v>
      </c>
    </row>
    <row r="712" spans="2:8" hidden="1" outlineLevel="2" x14ac:dyDescent="0.25">
      <c r="B712" s="1" t="s">
        <v>192</v>
      </c>
      <c r="C712" s="44">
        <v>38790.660000000003</v>
      </c>
      <c r="E712" s="50">
        <v>0</v>
      </c>
      <c r="F712" s="50">
        <v>0</v>
      </c>
      <c r="G712" s="64">
        <f t="shared" si="87"/>
        <v>0</v>
      </c>
      <c r="H712" s="64">
        <f t="shared" si="88"/>
        <v>0</v>
      </c>
    </row>
    <row r="713" spans="2:8" hidden="1" outlineLevel="2" x14ac:dyDescent="0.25">
      <c r="B713" s="1" t="s">
        <v>193</v>
      </c>
      <c r="C713" s="44">
        <v>22861.3</v>
      </c>
      <c r="E713" s="50">
        <v>0</v>
      </c>
      <c r="F713" s="50">
        <v>0</v>
      </c>
      <c r="G713" s="64">
        <f t="shared" si="87"/>
        <v>0</v>
      </c>
      <c r="H713" s="64">
        <f t="shared" si="88"/>
        <v>0</v>
      </c>
    </row>
    <row r="714" spans="2:8" hidden="1" outlineLevel="2" x14ac:dyDescent="0.25">
      <c r="B714" s="1" t="s">
        <v>194</v>
      </c>
      <c r="C714" s="44">
        <v>3311.24</v>
      </c>
      <c r="E714" s="50">
        <v>0</v>
      </c>
      <c r="F714" s="50">
        <v>0</v>
      </c>
      <c r="G714" s="64">
        <f t="shared" si="87"/>
        <v>0</v>
      </c>
      <c r="H714" s="64">
        <f t="shared" si="88"/>
        <v>0</v>
      </c>
    </row>
    <row r="715" spans="2:8" hidden="1" outlineLevel="2" x14ac:dyDescent="0.25">
      <c r="B715" s="1" t="s">
        <v>341</v>
      </c>
      <c r="C715" s="44">
        <v>17500.990000000002</v>
      </c>
      <c r="E715" s="50">
        <v>0</v>
      </c>
      <c r="F715" s="50">
        <v>0</v>
      </c>
      <c r="G715" s="64">
        <f t="shared" si="87"/>
        <v>0</v>
      </c>
      <c r="H715" s="64">
        <f t="shared" si="88"/>
        <v>0</v>
      </c>
    </row>
    <row r="716" spans="2:8" hidden="1" outlineLevel="2" x14ac:dyDescent="0.25">
      <c r="B716" s="1" t="s">
        <v>342</v>
      </c>
      <c r="C716" s="44">
        <v>12951.73</v>
      </c>
      <c r="E716" s="50">
        <v>0</v>
      </c>
      <c r="F716" s="50">
        <v>0</v>
      </c>
      <c r="G716" s="64">
        <f t="shared" si="87"/>
        <v>0</v>
      </c>
      <c r="H716" s="64">
        <f t="shared" si="88"/>
        <v>0</v>
      </c>
    </row>
    <row r="717" spans="2:8" hidden="1" outlineLevel="2" x14ac:dyDescent="0.25">
      <c r="B717" s="1" t="s">
        <v>343</v>
      </c>
      <c r="C717" s="44">
        <v>3589.26</v>
      </c>
      <c r="E717" s="50">
        <v>0</v>
      </c>
      <c r="F717" s="50">
        <v>0</v>
      </c>
      <c r="G717" s="64">
        <f t="shared" si="87"/>
        <v>0</v>
      </c>
      <c r="H717" s="64">
        <f t="shared" si="88"/>
        <v>0</v>
      </c>
    </row>
    <row r="718" spans="2:8" hidden="1" outlineLevel="2" x14ac:dyDescent="0.25">
      <c r="B718" s="1" t="s">
        <v>344</v>
      </c>
      <c r="C718" s="44">
        <v>2719.7</v>
      </c>
      <c r="E718" s="50">
        <v>0</v>
      </c>
      <c r="F718" s="50">
        <v>0</v>
      </c>
      <c r="G718" s="64">
        <f t="shared" si="87"/>
        <v>0</v>
      </c>
      <c r="H718" s="64">
        <f t="shared" si="88"/>
        <v>0</v>
      </c>
    </row>
    <row r="719" spans="2:8" outlineLevel="1" collapsed="1" x14ac:dyDescent="0.25">
      <c r="B719" s="60" t="s">
        <v>195</v>
      </c>
      <c r="C719" s="61">
        <v>211896.68</v>
      </c>
      <c r="E719" s="62"/>
      <c r="F719" s="62"/>
      <c r="G719" s="63"/>
      <c r="H719" s="63"/>
    </row>
    <row r="720" spans="2:8" hidden="1" outlineLevel="2" x14ac:dyDescent="0.25">
      <c r="B720" s="1" t="s">
        <v>196</v>
      </c>
      <c r="C720" s="44">
        <v>101452.75</v>
      </c>
      <c r="E720" s="50">
        <v>0</v>
      </c>
      <c r="F720" s="50">
        <v>0</v>
      </c>
      <c r="G720" s="64">
        <f t="shared" ref="G720:G726" si="89">+E720*C720</f>
        <v>0</v>
      </c>
      <c r="H720" s="64">
        <f t="shared" ref="H720:H726" si="90">+F720*C720</f>
        <v>0</v>
      </c>
    </row>
    <row r="721" spans="2:8" hidden="1" outlineLevel="2" x14ac:dyDescent="0.25">
      <c r="B721" s="1" t="s">
        <v>345</v>
      </c>
      <c r="C721" s="44">
        <v>5107.7700000000004</v>
      </c>
      <c r="E721" s="50">
        <v>0</v>
      </c>
      <c r="F721" s="50">
        <v>0</v>
      </c>
      <c r="G721" s="64">
        <f t="shared" si="89"/>
        <v>0</v>
      </c>
      <c r="H721" s="64">
        <f t="shared" si="90"/>
        <v>0</v>
      </c>
    </row>
    <row r="722" spans="2:8" hidden="1" outlineLevel="2" x14ac:dyDescent="0.25">
      <c r="B722" s="1" t="s">
        <v>346</v>
      </c>
      <c r="C722" s="44">
        <v>36924.78</v>
      </c>
      <c r="E722" s="50">
        <v>0</v>
      </c>
      <c r="F722" s="50">
        <v>0</v>
      </c>
      <c r="G722" s="64">
        <f t="shared" si="89"/>
        <v>0</v>
      </c>
      <c r="H722" s="64">
        <f t="shared" si="90"/>
        <v>0</v>
      </c>
    </row>
    <row r="723" spans="2:8" hidden="1" outlineLevel="2" x14ac:dyDescent="0.25">
      <c r="B723" s="1" t="s">
        <v>347</v>
      </c>
      <c r="C723" s="44">
        <v>6597.05</v>
      </c>
      <c r="E723" s="50">
        <v>0</v>
      </c>
      <c r="F723" s="50">
        <v>0</v>
      </c>
      <c r="G723" s="64">
        <f t="shared" si="89"/>
        <v>0</v>
      </c>
      <c r="H723" s="64">
        <f t="shared" si="90"/>
        <v>0</v>
      </c>
    </row>
    <row r="724" spans="2:8" hidden="1" outlineLevel="2" x14ac:dyDescent="0.25">
      <c r="B724" s="1" t="s">
        <v>348</v>
      </c>
      <c r="C724" s="44">
        <v>15889.99</v>
      </c>
      <c r="E724" s="50">
        <v>0</v>
      </c>
      <c r="F724" s="50">
        <v>0</v>
      </c>
      <c r="G724" s="64">
        <f t="shared" si="89"/>
        <v>0</v>
      </c>
      <c r="H724" s="64">
        <f t="shared" si="90"/>
        <v>0</v>
      </c>
    </row>
    <row r="725" spans="2:8" hidden="1" outlineLevel="2" x14ac:dyDescent="0.25">
      <c r="B725" s="1" t="s">
        <v>199</v>
      </c>
      <c r="C725" s="44">
        <v>35433.1</v>
      </c>
      <c r="E725" s="50">
        <v>0</v>
      </c>
      <c r="F725" s="50">
        <v>0</v>
      </c>
      <c r="G725" s="64">
        <f t="shared" si="89"/>
        <v>0</v>
      </c>
      <c r="H725" s="64">
        <f t="shared" si="90"/>
        <v>0</v>
      </c>
    </row>
    <row r="726" spans="2:8" hidden="1" outlineLevel="2" x14ac:dyDescent="0.25">
      <c r="B726" s="1" t="s">
        <v>201</v>
      </c>
      <c r="C726" s="44">
        <v>10491.24</v>
      </c>
      <c r="E726" s="50">
        <v>0</v>
      </c>
      <c r="F726" s="50">
        <v>0</v>
      </c>
      <c r="G726" s="64">
        <f t="shared" si="89"/>
        <v>0</v>
      </c>
      <c r="H726" s="64">
        <f t="shared" si="90"/>
        <v>0</v>
      </c>
    </row>
    <row r="727" spans="2:8" outlineLevel="1" collapsed="1" x14ac:dyDescent="0.25">
      <c r="B727" s="60" t="s">
        <v>202</v>
      </c>
      <c r="C727" s="61">
        <v>128336.19</v>
      </c>
      <c r="E727" s="62"/>
      <c r="F727" s="62"/>
      <c r="G727" s="63"/>
      <c r="H727" s="63"/>
    </row>
    <row r="728" spans="2:8" hidden="1" outlineLevel="2" x14ac:dyDescent="0.25">
      <c r="B728" s="1" t="s">
        <v>203</v>
      </c>
      <c r="C728" s="44">
        <v>79508.289999999994</v>
      </c>
      <c r="E728" s="50">
        <v>0</v>
      </c>
      <c r="F728" s="50">
        <v>0</v>
      </c>
      <c r="G728" s="64">
        <f t="shared" ref="G728:G743" si="91">+E728*C728</f>
        <v>0</v>
      </c>
      <c r="H728" s="64">
        <f t="shared" ref="H728:H743" si="92">+F728*C728</f>
        <v>0</v>
      </c>
    </row>
    <row r="729" spans="2:8" hidden="1" outlineLevel="2" x14ac:dyDescent="0.25">
      <c r="B729" s="1" t="s">
        <v>349</v>
      </c>
      <c r="C729" s="44">
        <v>66315.990000000005</v>
      </c>
      <c r="E729" s="50">
        <v>0</v>
      </c>
      <c r="F729" s="50">
        <v>0</v>
      </c>
      <c r="G729" s="64">
        <f t="shared" si="91"/>
        <v>0</v>
      </c>
      <c r="H729" s="64">
        <f t="shared" si="92"/>
        <v>0</v>
      </c>
    </row>
    <row r="730" spans="2:8" hidden="1" outlineLevel="2" x14ac:dyDescent="0.25">
      <c r="B730" s="1" t="s">
        <v>350</v>
      </c>
      <c r="C730" s="44">
        <v>13192.3</v>
      </c>
      <c r="E730" s="50">
        <v>0</v>
      </c>
      <c r="F730" s="50">
        <v>0</v>
      </c>
      <c r="G730" s="64">
        <f t="shared" si="91"/>
        <v>0</v>
      </c>
      <c r="H730" s="64">
        <f t="shared" si="92"/>
        <v>0</v>
      </c>
    </row>
    <row r="731" spans="2:8" hidden="1" outlineLevel="2" x14ac:dyDescent="0.25">
      <c r="B731" s="1" t="s">
        <v>351</v>
      </c>
      <c r="C731" s="44">
        <v>11266.24</v>
      </c>
      <c r="E731" s="50">
        <v>0</v>
      </c>
      <c r="F731" s="50">
        <v>0</v>
      </c>
      <c r="G731" s="64">
        <f t="shared" si="91"/>
        <v>0</v>
      </c>
      <c r="H731" s="64">
        <f t="shared" si="92"/>
        <v>0</v>
      </c>
    </row>
    <row r="732" spans="2:8" hidden="1" outlineLevel="2" x14ac:dyDescent="0.25">
      <c r="B732" s="1" t="s">
        <v>352</v>
      </c>
      <c r="C732" s="44">
        <v>11266.24</v>
      </c>
      <c r="E732" s="50">
        <v>0</v>
      </c>
      <c r="F732" s="50">
        <v>0</v>
      </c>
      <c r="G732" s="64">
        <f t="shared" si="91"/>
        <v>0</v>
      </c>
      <c r="H732" s="64">
        <f t="shared" si="92"/>
        <v>0</v>
      </c>
    </row>
    <row r="733" spans="2:8" hidden="1" outlineLevel="2" x14ac:dyDescent="0.25">
      <c r="B733" s="1" t="s">
        <v>206</v>
      </c>
      <c r="C733" s="44">
        <v>34400.620000000003</v>
      </c>
      <c r="E733" s="50">
        <v>0</v>
      </c>
      <c r="F733" s="50">
        <v>0</v>
      </c>
      <c r="G733" s="64">
        <f t="shared" si="91"/>
        <v>0</v>
      </c>
      <c r="H733" s="64">
        <f t="shared" si="92"/>
        <v>0</v>
      </c>
    </row>
    <row r="734" spans="2:8" hidden="1" outlineLevel="2" x14ac:dyDescent="0.25">
      <c r="B734" s="1" t="s">
        <v>353</v>
      </c>
      <c r="C734" s="44">
        <v>15685.85</v>
      </c>
      <c r="E734" s="50">
        <v>0</v>
      </c>
      <c r="F734" s="50">
        <v>0</v>
      </c>
      <c r="G734" s="64">
        <f t="shared" si="91"/>
        <v>0</v>
      </c>
      <c r="H734" s="64">
        <f t="shared" si="92"/>
        <v>0</v>
      </c>
    </row>
    <row r="735" spans="2:8" hidden="1" outlineLevel="2" x14ac:dyDescent="0.25">
      <c r="B735" s="1" t="s">
        <v>208</v>
      </c>
      <c r="C735" s="44">
        <v>844.6</v>
      </c>
      <c r="E735" s="50">
        <v>0</v>
      </c>
      <c r="F735" s="50">
        <v>0</v>
      </c>
      <c r="G735" s="64">
        <f t="shared" si="91"/>
        <v>0</v>
      </c>
      <c r="H735" s="64">
        <f t="shared" si="92"/>
        <v>0</v>
      </c>
    </row>
    <row r="736" spans="2:8" hidden="1" outlineLevel="2" x14ac:dyDescent="0.25">
      <c r="B736" s="1" t="s">
        <v>354</v>
      </c>
      <c r="C736" s="44">
        <v>2869.85</v>
      </c>
      <c r="E736" s="50">
        <v>0</v>
      </c>
      <c r="F736" s="50">
        <v>0</v>
      </c>
      <c r="G736" s="64">
        <f t="shared" si="91"/>
        <v>0</v>
      </c>
      <c r="H736" s="64">
        <f t="shared" si="92"/>
        <v>0</v>
      </c>
    </row>
    <row r="737" spans="2:8" hidden="1" outlineLevel="2" x14ac:dyDescent="0.25">
      <c r="B737" s="1" t="s">
        <v>350</v>
      </c>
      <c r="C737" s="44">
        <v>3126.61</v>
      </c>
      <c r="E737" s="50">
        <v>0</v>
      </c>
      <c r="F737" s="50">
        <v>0</v>
      </c>
      <c r="G737" s="64">
        <f t="shared" si="91"/>
        <v>0</v>
      </c>
      <c r="H737" s="64">
        <f t="shared" si="92"/>
        <v>0</v>
      </c>
    </row>
    <row r="738" spans="2:8" hidden="1" outlineLevel="2" x14ac:dyDescent="0.25">
      <c r="B738" s="1" t="s">
        <v>349</v>
      </c>
      <c r="C738" s="44">
        <v>6617.83</v>
      </c>
      <c r="E738" s="50">
        <v>0</v>
      </c>
      <c r="F738" s="50">
        <v>0</v>
      </c>
      <c r="G738" s="64">
        <f t="shared" si="91"/>
        <v>0</v>
      </c>
      <c r="H738" s="64">
        <f t="shared" si="92"/>
        <v>0</v>
      </c>
    </row>
    <row r="739" spans="2:8" hidden="1" outlineLevel="2" x14ac:dyDescent="0.25">
      <c r="B739" s="1" t="s">
        <v>210</v>
      </c>
      <c r="C739" s="44">
        <v>2474.7399999999998</v>
      </c>
      <c r="E739" s="50">
        <v>0</v>
      </c>
      <c r="F739" s="50">
        <v>0</v>
      </c>
      <c r="G739" s="64">
        <f t="shared" si="91"/>
        <v>0</v>
      </c>
      <c r="H739" s="64">
        <f t="shared" si="92"/>
        <v>0</v>
      </c>
    </row>
    <row r="740" spans="2:8" hidden="1" outlineLevel="2" x14ac:dyDescent="0.25">
      <c r="B740" s="1" t="s">
        <v>211</v>
      </c>
      <c r="C740" s="44">
        <v>2781.14</v>
      </c>
      <c r="E740" s="50">
        <v>0</v>
      </c>
      <c r="F740" s="50">
        <v>0</v>
      </c>
      <c r="G740" s="64">
        <f t="shared" si="91"/>
        <v>0</v>
      </c>
      <c r="H740" s="64">
        <f t="shared" si="92"/>
        <v>0</v>
      </c>
    </row>
    <row r="741" spans="2:8" hidden="1" outlineLevel="2" x14ac:dyDescent="0.25">
      <c r="B741" s="1" t="s">
        <v>56</v>
      </c>
      <c r="C741" s="44">
        <v>3161.04</v>
      </c>
      <c r="E741" s="50">
        <v>0</v>
      </c>
      <c r="F741" s="50">
        <v>0</v>
      </c>
      <c r="G741" s="64">
        <f t="shared" si="91"/>
        <v>0</v>
      </c>
      <c r="H741" s="64">
        <f t="shared" si="92"/>
        <v>0</v>
      </c>
    </row>
    <row r="742" spans="2:8" hidden="1" outlineLevel="2" x14ac:dyDescent="0.25">
      <c r="B742" s="1" t="s">
        <v>349</v>
      </c>
      <c r="C742" s="44">
        <v>3161.04</v>
      </c>
      <c r="E742" s="50">
        <v>0</v>
      </c>
      <c r="F742" s="50">
        <v>0</v>
      </c>
      <c r="G742" s="64">
        <f t="shared" si="91"/>
        <v>0</v>
      </c>
      <c r="H742" s="64">
        <f t="shared" si="92"/>
        <v>0</v>
      </c>
    </row>
    <row r="743" spans="2:8" hidden="1" outlineLevel="2" x14ac:dyDescent="0.25">
      <c r="B743" s="1" t="s">
        <v>350</v>
      </c>
      <c r="C743" s="44">
        <v>0</v>
      </c>
      <c r="E743" s="50">
        <v>0</v>
      </c>
      <c r="F743" s="50">
        <v>0</v>
      </c>
      <c r="G743" s="64">
        <f t="shared" si="91"/>
        <v>0</v>
      </c>
      <c r="H743" s="64">
        <f t="shared" si="92"/>
        <v>0</v>
      </c>
    </row>
    <row r="744" spans="2:8" outlineLevel="1" collapsed="1" x14ac:dyDescent="0.25">
      <c r="B744" s="60" t="s">
        <v>212</v>
      </c>
      <c r="C744" s="61">
        <v>883.4</v>
      </c>
      <c r="E744" s="62"/>
      <c r="F744" s="62"/>
      <c r="G744" s="63"/>
      <c r="H744" s="63"/>
    </row>
    <row r="745" spans="2:8" hidden="1" outlineLevel="2" x14ac:dyDescent="0.25">
      <c r="B745" s="1" t="s">
        <v>213</v>
      </c>
      <c r="C745" s="44">
        <v>883.4</v>
      </c>
      <c r="E745" s="50">
        <v>0</v>
      </c>
      <c r="F745" s="50">
        <v>0</v>
      </c>
      <c r="G745" s="64">
        <f>+E745*C745</f>
        <v>0</v>
      </c>
      <c r="H745" s="64">
        <f>+F745*C745</f>
        <v>0</v>
      </c>
    </row>
    <row r="746" spans="2:8" outlineLevel="1" collapsed="1" x14ac:dyDescent="0.25">
      <c r="B746" s="60" t="s">
        <v>214</v>
      </c>
      <c r="C746" s="61">
        <v>7349.8</v>
      </c>
      <c r="E746" s="62"/>
      <c r="F746" s="62"/>
      <c r="G746" s="63"/>
      <c r="H746" s="63"/>
    </row>
    <row r="747" spans="2:8" hidden="1" outlineLevel="2" x14ac:dyDescent="0.25">
      <c r="B747" s="1" t="s">
        <v>215</v>
      </c>
      <c r="C747" s="44">
        <v>5509.8</v>
      </c>
      <c r="E747" s="50">
        <v>0</v>
      </c>
      <c r="F747" s="50">
        <v>0</v>
      </c>
      <c r="G747" s="64">
        <f>+E747*C747</f>
        <v>0</v>
      </c>
      <c r="H747" s="64">
        <f>+F747*C747</f>
        <v>0</v>
      </c>
    </row>
    <row r="748" spans="2:8" hidden="1" outlineLevel="2" x14ac:dyDescent="0.25">
      <c r="B748" s="1" t="s">
        <v>216</v>
      </c>
      <c r="C748" s="44">
        <v>1840</v>
      </c>
      <c r="E748" s="50">
        <v>0</v>
      </c>
      <c r="F748" s="50">
        <v>0</v>
      </c>
      <c r="G748" s="64">
        <f>+E748*C748</f>
        <v>0</v>
      </c>
      <c r="H748" s="64">
        <f>+F748*C748</f>
        <v>0</v>
      </c>
    </row>
    <row r="749" spans="2:8" outlineLevel="1" collapsed="1" x14ac:dyDescent="0.25">
      <c r="B749" s="60" t="s">
        <v>217</v>
      </c>
      <c r="C749" s="61">
        <v>154174.9</v>
      </c>
      <c r="E749" s="62"/>
      <c r="F749" s="62"/>
      <c r="G749" s="63"/>
      <c r="H749" s="63"/>
    </row>
    <row r="750" spans="2:8" hidden="1" outlineLevel="2" x14ac:dyDescent="0.25">
      <c r="B750" s="1" t="s">
        <v>355</v>
      </c>
      <c r="C750" s="44">
        <v>21475.95</v>
      </c>
      <c r="E750" s="50">
        <v>0</v>
      </c>
      <c r="F750" s="50">
        <v>0</v>
      </c>
      <c r="G750" s="64">
        <f t="shared" ref="G750:G759" si="93">+E750*C750</f>
        <v>0</v>
      </c>
      <c r="H750" s="64">
        <f t="shared" ref="H750:H759" si="94">+F750*C750</f>
        <v>0</v>
      </c>
    </row>
    <row r="751" spans="2:8" hidden="1" outlineLevel="2" x14ac:dyDescent="0.25">
      <c r="B751" s="1" t="s">
        <v>356</v>
      </c>
      <c r="C751" s="44">
        <v>13840.06</v>
      </c>
      <c r="E751" s="50">
        <v>0</v>
      </c>
      <c r="F751" s="50">
        <v>0</v>
      </c>
      <c r="G751" s="64">
        <f t="shared" si="93"/>
        <v>0</v>
      </c>
      <c r="H751" s="64">
        <f t="shared" si="94"/>
        <v>0</v>
      </c>
    </row>
    <row r="752" spans="2:8" hidden="1" outlineLevel="2" x14ac:dyDescent="0.25">
      <c r="B752" s="1" t="s">
        <v>357</v>
      </c>
      <c r="C752" s="44">
        <v>1145.3800000000001</v>
      </c>
      <c r="E752" s="50">
        <v>0</v>
      </c>
      <c r="F752" s="50">
        <v>0</v>
      </c>
      <c r="G752" s="64">
        <f t="shared" si="93"/>
        <v>0</v>
      </c>
      <c r="H752" s="64">
        <f t="shared" si="94"/>
        <v>0</v>
      </c>
    </row>
    <row r="753" spans="2:8" hidden="1" outlineLevel="2" x14ac:dyDescent="0.25">
      <c r="B753" s="1" t="s">
        <v>358</v>
      </c>
      <c r="C753" s="44">
        <v>3817.95</v>
      </c>
      <c r="E753" s="50">
        <v>0</v>
      </c>
      <c r="F753" s="50">
        <v>0</v>
      </c>
      <c r="G753" s="64">
        <f t="shared" si="93"/>
        <v>0</v>
      </c>
      <c r="H753" s="64">
        <f t="shared" si="94"/>
        <v>0</v>
      </c>
    </row>
    <row r="754" spans="2:8" hidden="1" outlineLevel="2" x14ac:dyDescent="0.25">
      <c r="B754" s="1" t="s">
        <v>359</v>
      </c>
      <c r="C754" s="44">
        <v>16703.52</v>
      </c>
      <c r="E754" s="50">
        <v>0</v>
      </c>
      <c r="F754" s="50">
        <v>0</v>
      </c>
      <c r="G754" s="64">
        <f t="shared" si="93"/>
        <v>0</v>
      </c>
      <c r="H754" s="64">
        <f t="shared" si="94"/>
        <v>0</v>
      </c>
    </row>
    <row r="755" spans="2:8" hidden="1" outlineLevel="2" x14ac:dyDescent="0.25">
      <c r="B755" s="1" t="s">
        <v>360</v>
      </c>
      <c r="C755" s="44">
        <v>12885.57</v>
      </c>
      <c r="E755" s="50">
        <v>0</v>
      </c>
      <c r="F755" s="50">
        <v>0</v>
      </c>
      <c r="G755" s="64">
        <f t="shared" si="93"/>
        <v>0</v>
      </c>
      <c r="H755" s="64">
        <f t="shared" si="94"/>
        <v>0</v>
      </c>
    </row>
    <row r="756" spans="2:8" hidden="1" outlineLevel="2" x14ac:dyDescent="0.25">
      <c r="B756" s="1" t="s">
        <v>361</v>
      </c>
      <c r="C756" s="44">
        <v>32070.75</v>
      </c>
      <c r="E756" s="50">
        <v>0</v>
      </c>
      <c r="F756" s="50">
        <v>0</v>
      </c>
      <c r="G756" s="64">
        <f t="shared" si="93"/>
        <v>0</v>
      </c>
      <c r="H756" s="64">
        <f t="shared" si="94"/>
        <v>0</v>
      </c>
    </row>
    <row r="757" spans="2:8" hidden="1" outlineLevel="2" x14ac:dyDescent="0.25">
      <c r="B757" s="1" t="s">
        <v>362</v>
      </c>
      <c r="C757" s="44">
        <v>7254.1</v>
      </c>
      <c r="E757" s="50">
        <v>0</v>
      </c>
      <c r="F757" s="50">
        <v>0</v>
      </c>
      <c r="G757" s="64">
        <f t="shared" si="93"/>
        <v>0</v>
      </c>
      <c r="H757" s="64">
        <f t="shared" si="94"/>
        <v>0</v>
      </c>
    </row>
    <row r="758" spans="2:8" hidden="1" outlineLevel="2" x14ac:dyDescent="0.25">
      <c r="B758" s="1" t="s">
        <v>363</v>
      </c>
      <c r="C758" s="44">
        <v>38656.71</v>
      </c>
      <c r="E758" s="50">
        <v>0</v>
      </c>
      <c r="F758" s="50">
        <v>0</v>
      </c>
      <c r="G758" s="64">
        <f t="shared" si="93"/>
        <v>0</v>
      </c>
      <c r="H758" s="64">
        <f t="shared" si="94"/>
        <v>0</v>
      </c>
    </row>
    <row r="759" spans="2:8" hidden="1" outlineLevel="2" x14ac:dyDescent="0.25">
      <c r="B759" s="1" t="s">
        <v>364</v>
      </c>
      <c r="C759" s="44">
        <v>6324.91</v>
      </c>
      <c r="E759" s="50">
        <v>0</v>
      </c>
      <c r="F759" s="50">
        <v>0</v>
      </c>
      <c r="G759" s="64">
        <f t="shared" si="93"/>
        <v>0</v>
      </c>
      <c r="H759" s="64">
        <f t="shared" si="94"/>
        <v>0</v>
      </c>
    </row>
    <row r="760" spans="2:8" outlineLevel="1" collapsed="1" x14ac:dyDescent="0.25">
      <c r="B760" s="60" t="s">
        <v>224</v>
      </c>
      <c r="C760" s="61">
        <v>49448.68</v>
      </c>
      <c r="E760" s="62"/>
      <c r="F760" s="62"/>
      <c r="G760" s="63"/>
      <c r="H760" s="63"/>
    </row>
    <row r="761" spans="2:8" hidden="1" outlineLevel="2" x14ac:dyDescent="0.25">
      <c r="B761" s="1" t="s">
        <v>225</v>
      </c>
      <c r="C761" s="44">
        <v>15449.35</v>
      </c>
      <c r="E761" s="50">
        <v>0</v>
      </c>
      <c r="F761" s="50">
        <v>0</v>
      </c>
      <c r="G761" s="64">
        <f>+E761*C761</f>
        <v>0</v>
      </c>
      <c r="H761" s="64">
        <f>+F761*C761</f>
        <v>0</v>
      </c>
    </row>
    <row r="762" spans="2:8" hidden="1" outlineLevel="2" x14ac:dyDescent="0.25">
      <c r="B762" s="1" t="s">
        <v>365</v>
      </c>
      <c r="C762" s="44">
        <v>3869.74</v>
      </c>
      <c r="E762" s="50">
        <v>0</v>
      </c>
      <c r="F762" s="50">
        <v>0</v>
      </c>
      <c r="G762" s="64">
        <f>+E762*C762</f>
        <v>0</v>
      </c>
      <c r="H762" s="64">
        <f>+F762*C762</f>
        <v>0</v>
      </c>
    </row>
    <row r="763" spans="2:8" hidden="1" outlineLevel="2" x14ac:dyDescent="0.25">
      <c r="B763" s="1" t="s">
        <v>227</v>
      </c>
      <c r="C763" s="44">
        <v>14719.8</v>
      </c>
      <c r="E763" s="50">
        <v>0</v>
      </c>
      <c r="F763" s="50">
        <v>0</v>
      </c>
      <c r="G763" s="64">
        <f>+E763*C763</f>
        <v>0</v>
      </c>
      <c r="H763" s="64">
        <f>+F763*C763</f>
        <v>0</v>
      </c>
    </row>
    <row r="764" spans="2:8" hidden="1" outlineLevel="2" x14ac:dyDescent="0.25">
      <c r="B764" s="1" t="s">
        <v>226</v>
      </c>
      <c r="C764" s="44">
        <v>7359.9</v>
      </c>
      <c r="E764" s="50">
        <v>0</v>
      </c>
      <c r="F764" s="50">
        <v>0</v>
      </c>
      <c r="G764" s="64">
        <f>+E764*C764</f>
        <v>0</v>
      </c>
      <c r="H764" s="64">
        <f>+F764*C764</f>
        <v>0</v>
      </c>
    </row>
    <row r="765" spans="2:8" hidden="1" outlineLevel="2" x14ac:dyDescent="0.25">
      <c r="B765" s="1" t="s">
        <v>366</v>
      </c>
      <c r="C765" s="44">
        <v>8049.89</v>
      </c>
      <c r="E765" s="50">
        <v>0</v>
      </c>
      <c r="F765" s="50">
        <v>0</v>
      </c>
      <c r="G765" s="64">
        <f>+E765*C765</f>
        <v>0</v>
      </c>
      <c r="H765" s="64">
        <f>+F765*C765</f>
        <v>0</v>
      </c>
    </row>
    <row r="766" spans="2:8" outlineLevel="1" collapsed="1" x14ac:dyDescent="0.25">
      <c r="B766" s="60" t="s">
        <v>367</v>
      </c>
      <c r="C766" s="61">
        <v>108723.59</v>
      </c>
      <c r="E766" s="62"/>
      <c r="F766" s="62"/>
      <c r="G766" s="63"/>
      <c r="H766" s="63"/>
    </row>
    <row r="767" spans="2:8" hidden="1" outlineLevel="2" x14ac:dyDescent="0.25">
      <c r="B767" s="1" t="s">
        <v>368</v>
      </c>
      <c r="C767" s="44">
        <v>30552.76</v>
      </c>
      <c r="E767" s="50">
        <v>0</v>
      </c>
      <c r="F767" s="50">
        <v>0</v>
      </c>
      <c r="G767" s="64">
        <f t="shared" ref="G767:G774" si="95">+E767*C767</f>
        <v>0</v>
      </c>
      <c r="H767" s="64">
        <f t="shared" ref="H767:H774" si="96">+F767*C767</f>
        <v>0</v>
      </c>
    </row>
    <row r="768" spans="2:8" hidden="1" outlineLevel="2" x14ac:dyDescent="0.25">
      <c r="B768" s="1" t="s">
        <v>369</v>
      </c>
      <c r="C768" s="44">
        <v>38702.99</v>
      </c>
      <c r="E768" s="50">
        <v>0</v>
      </c>
      <c r="F768" s="50">
        <v>0</v>
      </c>
      <c r="G768" s="64">
        <f t="shared" si="95"/>
        <v>0</v>
      </c>
      <c r="H768" s="64">
        <f t="shared" si="96"/>
        <v>0</v>
      </c>
    </row>
    <row r="769" spans="2:8" hidden="1" outlineLevel="2" x14ac:dyDescent="0.25">
      <c r="B769" s="1" t="s">
        <v>370</v>
      </c>
      <c r="C769" s="44">
        <v>18629.740000000002</v>
      </c>
      <c r="E769" s="50">
        <v>0</v>
      </c>
      <c r="F769" s="50">
        <v>0</v>
      </c>
      <c r="G769" s="64">
        <f t="shared" si="95"/>
        <v>0</v>
      </c>
      <c r="H769" s="64">
        <f t="shared" si="96"/>
        <v>0</v>
      </c>
    </row>
    <row r="770" spans="2:8" hidden="1" outlineLevel="2" x14ac:dyDescent="0.25">
      <c r="B770" s="1" t="s">
        <v>371</v>
      </c>
      <c r="C770" s="44">
        <v>9290.0300000000007</v>
      </c>
      <c r="E770" s="50">
        <v>0</v>
      </c>
      <c r="F770" s="50">
        <v>0</v>
      </c>
      <c r="G770" s="64">
        <f t="shared" si="95"/>
        <v>0</v>
      </c>
      <c r="H770" s="64">
        <f t="shared" si="96"/>
        <v>0</v>
      </c>
    </row>
    <row r="771" spans="2:8" hidden="1" outlineLevel="2" x14ac:dyDescent="0.25">
      <c r="B771" s="1" t="s">
        <v>372</v>
      </c>
      <c r="C771" s="44">
        <v>6899.9</v>
      </c>
      <c r="E771" s="50">
        <v>0</v>
      </c>
      <c r="F771" s="50">
        <v>0</v>
      </c>
      <c r="G771" s="64">
        <f t="shared" si="95"/>
        <v>0</v>
      </c>
      <c r="H771" s="64">
        <f t="shared" si="96"/>
        <v>0</v>
      </c>
    </row>
    <row r="772" spans="2:8" hidden="1" outlineLevel="2" x14ac:dyDescent="0.25">
      <c r="B772" s="1" t="s">
        <v>373</v>
      </c>
      <c r="C772" s="44">
        <v>748.28</v>
      </c>
      <c r="E772" s="50">
        <v>0</v>
      </c>
      <c r="F772" s="50">
        <v>0</v>
      </c>
      <c r="G772" s="64">
        <f t="shared" si="95"/>
        <v>0</v>
      </c>
      <c r="H772" s="64">
        <f t="shared" si="96"/>
        <v>0</v>
      </c>
    </row>
    <row r="773" spans="2:8" hidden="1" outlineLevel="2" x14ac:dyDescent="0.25">
      <c r="B773" s="1" t="s">
        <v>374</v>
      </c>
      <c r="C773" s="44">
        <v>1519.88</v>
      </c>
      <c r="E773" s="50">
        <v>0</v>
      </c>
      <c r="F773" s="50">
        <v>0</v>
      </c>
      <c r="G773" s="64">
        <f t="shared" si="95"/>
        <v>0</v>
      </c>
      <c r="H773" s="64">
        <f t="shared" si="96"/>
        <v>0</v>
      </c>
    </row>
    <row r="774" spans="2:8" hidden="1" outlineLevel="2" x14ac:dyDescent="0.25">
      <c r="B774" s="1" t="s">
        <v>375</v>
      </c>
      <c r="C774" s="44">
        <v>2380.0100000000002</v>
      </c>
      <c r="E774" s="50">
        <v>0</v>
      </c>
      <c r="F774" s="50">
        <v>0</v>
      </c>
      <c r="G774" s="64">
        <f t="shared" si="95"/>
        <v>0</v>
      </c>
      <c r="H774" s="64">
        <f t="shared" si="96"/>
        <v>0</v>
      </c>
    </row>
    <row r="775" spans="2:8" outlineLevel="1" collapsed="1" x14ac:dyDescent="0.25">
      <c r="B775" s="60" t="s">
        <v>229</v>
      </c>
      <c r="C775" s="61">
        <v>104124.45</v>
      </c>
      <c r="E775" s="62"/>
      <c r="F775" s="62"/>
      <c r="G775" s="63"/>
      <c r="H775" s="63"/>
    </row>
    <row r="776" spans="2:8" hidden="1" outlineLevel="2" x14ac:dyDescent="0.25">
      <c r="B776" s="1" t="s">
        <v>230</v>
      </c>
      <c r="C776" s="44">
        <v>12127.73</v>
      </c>
      <c r="E776" s="50">
        <v>0</v>
      </c>
      <c r="F776" s="50">
        <v>0</v>
      </c>
      <c r="G776" s="64">
        <f t="shared" ref="G776:G789" si="97">+E776*C776</f>
        <v>0</v>
      </c>
      <c r="H776" s="64">
        <f t="shared" ref="H776:H789" si="98">+F776*C776</f>
        <v>0</v>
      </c>
    </row>
    <row r="777" spans="2:8" hidden="1" outlineLevel="2" x14ac:dyDescent="0.25">
      <c r="B777" s="1" t="s">
        <v>232</v>
      </c>
      <c r="C777" s="44">
        <v>3363.66</v>
      </c>
      <c r="E777" s="50">
        <v>0</v>
      </c>
      <c r="F777" s="50">
        <v>0</v>
      </c>
      <c r="G777" s="64">
        <f t="shared" si="97"/>
        <v>0</v>
      </c>
      <c r="H777" s="64">
        <f t="shared" si="98"/>
        <v>0</v>
      </c>
    </row>
    <row r="778" spans="2:8" hidden="1" outlineLevel="2" x14ac:dyDescent="0.25">
      <c r="B778" s="1" t="s">
        <v>233</v>
      </c>
      <c r="C778" s="44">
        <v>1950.38</v>
      </c>
      <c r="E778" s="50">
        <v>0</v>
      </c>
      <c r="F778" s="50">
        <v>0</v>
      </c>
      <c r="G778" s="64">
        <f t="shared" si="97"/>
        <v>0</v>
      </c>
      <c r="H778" s="64">
        <f t="shared" si="98"/>
        <v>0</v>
      </c>
    </row>
    <row r="779" spans="2:8" hidden="1" outlineLevel="2" x14ac:dyDescent="0.25">
      <c r="B779" s="1" t="s">
        <v>234</v>
      </c>
      <c r="C779" s="44">
        <v>6835.52</v>
      </c>
      <c r="E779" s="50">
        <v>0</v>
      </c>
      <c r="F779" s="50">
        <v>0</v>
      </c>
      <c r="G779" s="64">
        <f t="shared" si="97"/>
        <v>0</v>
      </c>
      <c r="H779" s="64">
        <f t="shared" si="98"/>
        <v>0</v>
      </c>
    </row>
    <row r="780" spans="2:8" hidden="1" outlineLevel="2" x14ac:dyDescent="0.25">
      <c r="B780" s="1" t="s">
        <v>236</v>
      </c>
      <c r="C780" s="44">
        <v>4973.84</v>
      </c>
      <c r="E780" s="50">
        <v>0</v>
      </c>
      <c r="F780" s="50">
        <v>0</v>
      </c>
      <c r="G780" s="64">
        <f t="shared" si="97"/>
        <v>0</v>
      </c>
      <c r="H780" s="64">
        <f t="shared" si="98"/>
        <v>0</v>
      </c>
    </row>
    <row r="781" spans="2:8" hidden="1" outlineLevel="2" x14ac:dyDescent="0.25">
      <c r="B781" s="1" t="s">
        <v>237</v>
      </c>
      <c r="C781" s="44">
        <v>7460.76</v>
      </c>
      <c r="E781" s="50">
        <v>0</v>
      </c>
      <c r="F781" s="50">
        <v>0</v>
      </c>
      <c r="G781" s="64">
        <f t="shared" si="97"/>
        <v>0</v>
      </c>
      <c r="H781" s="64">
        <f t="shared" si="98"/>
        <v>0</v>
      </c>
    </row>
    <row r="782" spans="2:8" hidden="1" outlineLevel="2" x14ac:dyDescent="0.25">
      <c r="B782" s="1" t="s">
        <v>238</v>
      </c>
      <c r="C782" s="44">
        <v>27397.71</v>
      </c>
      <c r="E782" s="50">
        <v>0</v>
      </c>
      <c r="F782" s="50">
        <v>0</v>
      </c>
      <c r="G782" s="64">
        <f t="shared" si="97"/>
        <v>0</v>
      </c>
      <c r="H782" s="64">
        <f t="shared" si="98"/>
        <v>0</v>
      </c>
    </row>
    <row r="783" spans="2:8" hidden="1" outlineLevel="2" x14ac:dyDescent="0.25">
      <c r="B783" s="1" t="s">
        <v>376</v>
      </c>
      <c r="C783" s="44">
        <v>3461.84</v>
      </c>
      <c r="E783" s="50">
        <v>0</v>
      </c>
      <c r="F783" s="50">
        <v>0</v>
      </c>
      <c r="G783" s="64">
        <f t="shared" si="97"/>
        <v>0</v>
      </c>
      <c r="H783" s="64">
        <f t="shared" si="98"/>
        <v>0</v>
      </c>
    </row>
    <row r="784" spans="2:8" hidden="1" outlineLevel="2" x14ac:dyDescent="0.25">
      <c r="B784" s="1" t="s">
        <v>240</v>
      </c>
      <c r="C784" s="44">
        <v>3911.4</v>
      </c>
      <c r="E784" s="50">
        <v>0</v>
      </c>
      <c r="F784" s="50">
        <v>0</v>
      </c>
      <c r="G784" s="64">
        <f t="shared" si="97"/>
        <v>0</v>
      </c>
      <c r="H784" s="64">
        <f t="shared" si="98"/>
        <v>0</v>
      </c>
    </row>
    <row r="785" spans="2:8" hidden="1" outlineLevel="2" x14ac:dyDescent="0.25">
      <c r="B785" s="1" t="s">
        <v>241</v>
      </c>
      <c r="C785" s="44">
        <v>20762.55</v>
      </c>
      <c r="E785" s="50">
        <v>0</v>
      </c>
      <c r="F785" s="50">
        <v>0</v>
      </c>
      <c r="G785" s="64">
        <f t="shared" si="97"/>
        <v>0</v>
      </c>
      <c r="H785" s="64">
        <f t="shared" si="98"/>
        <v>0</v>
      </c>
    </row>
    <row r="786" spans="2:8" hidden="1" outlineLevel="2" x14ac:dyDescent="0.25">
      <c r="B786" s="1" t="s">
        <v>242</v>
      </c>
      <c r="C786" s="44">
        <v>2863.8</v>
      </c>
      <c r="E786" s="50">
        <v>0</v>
      </c>
      <c r="F786" s="50">
        <v>0</v>
      </c>
      <c r="G786" s="64">
        <f t="shared" si="97"/>
        <v>0</v>
      </c>
      <c r="H786" s="64">
        <f t="shared" si="98"/>
        <v>0</v>
      </c>
    </row>
    <row r="787" spans="2:8" hidden="1" outlineLevel="2" x14ac:dyDescent="0.25">
      <c r="B787" s="1" t="s">
        <v>243</v>
      </c>
      <c r="C787" s="44">
        <v>3432.1</v>
      </c>
      <c r="E787" s="50">
        <v>0</v>
      </c>
      <c r="F787" s="50">
        <v>0</v>
      </c>
      <c r="G787" s="64">
        <f t="shared" si="97"/>
        <v>0</v>
      </c>
      <c r="H787" s="64">
        <f t="shared" si="98"/>
        <v>0</v>
      </c>
    </row>
    <row r="788" spans="2:8" hidden="1" outlineLevel="2" x14ac:dyDescent="0.25">
      <c r="B788" s="1" t="s">
        <v>244</v>
      </c>
      <c r="C788" s="44">
        <v>1908.96</v>
      </c>
      <c r="E788" s="50">
        <v>0</v>
      </c>
      <c r="F788" s="50">
        <v>0</v>
      </c>
      <c r="G788" s="64">
        <f t="shared" si="97"/>
        <v>0</v>
      </c>
      <c r="H788" s="64">
        <f t="shared" si="98"/>
        <v>0</v>
      </c>
    </row>
    <row r="789" spans="2:8" hidden="1" outlineLevel="2" x14ac:dyDescent="0.25">
      <c r="B789" s="1" t="s">
        <v>245</v>
      </c>
      <c r="C789" s="44">
        <v>3674.2</v>
      </c>
      <c r="E789" s="50">
        <v>0</v>
      </c>
      <c r="F789" s="50">
        <v>0</v>
      </c>
      <c r="G789" s="64">
        <f t="shared" si="97"/>
        <v>0</v>
      </c>
      <c r="H789" s="64">
        <f t="shared" si="98"/>
        <v>0</v>
      </c>
    </row>
    <row r="790" spans="2:8" outlineLevel="1" collapsed="1" x14ac:dyDescent="0.25">
      <c r="B790" s="60" t="s">
        <v>247</v>
      </c>
      <c r="C790" s="61">
        <v>60690.93</v>
      </c>
      <c r="E790" s="62"/>
      <c r="F790" s="62"/>
      <c r="G790" s="63"/>
      <c r="H790" s="63"/>
    </row>
    <row r="791" spans="2:8" hidden="1" outlineLevel="2" x14ac:dyDescent="0.25">
      <c r="B791" s="1" t="s">
        <v>377</v>
      </c>
      <c r="C791" s="44">
        <v>5970.02</v>
      </c>
      <c r="E791" s="50">
        <v>0</v>
      </c>
      <c r="F791" s="50">
        <v>0</v>
      </c>
      <c r="G791" s="64">
        <f t="shared" ref="G791:G820" si="99">+E791*C791</f>
        <v>0</v>
      </c>
      <c r="H791" s="64">
        <f t="shared" ref="H791:H820" si="100">+F791*C791</f>
        <v>0</v>
      </c>
    </row>
    <row r="792" spans="2:8" hidden="1" outlineLevel="2" x14ac:dyDescent="0.25">
      <c r="B792" s="1" t="s">
        <v>378</v>
      </c>
      <c r="C792" s="44">
        <v>3607.47</v>
      </c>
      <c r="E792" s="50">
        <v>0</v>
      </c>
      <c r="F792" s="50">
        <v>0</v>
      </c>
      <c r="G792" s="64">
        <f t="shared" si="99"/>
        <v>0</v>
      </c>
      <c r="H792" s="64">
        <f t="shared" si="100"/>
        <v>0</v>
      </c>
    </row>
    <row r="793" spans="2:8" hidden="1" outlineLevel="2" x14ac:dyDescent="0.25">
      <c r="B793" s="1" t="s">
        <v>379</v>
      </c>
      <c r="C793" s="44">
        <v>7359.88</v>
      </c>
      <c r="E793" s="50">
        <v>0</v>
      </c>
      <c r="F793" s="50">
        <v>0</v>
      </c>
      <c r="G793" s="64">
        <f t="shared" si="99"/>
        <v>0</v>
      </c>
      <c r="H793" s="64">
        <f t="shared" si="100"/>
        <v>0</v>
      </c>
    </row>
    <row r="794" spans="2:8" hidden="1" outlineLevel="2" x14ac:dyDescent="0.25">
      <c r="B794" s="1" t="s">
        <v>249</v>
      </c>
      <c r="C794" s="44">
        <v>1322.48</v>
      </c>
      <c r="E794" s="50">
        <v>0</v>
      </c>
      <c r="F794" s="50">
        <v>0</v>
      </c>
      <c r="G794" s="64">
        <f t="shared" si="99"/>
        <v>0</v>
      </c>
      <c r="H794" s="64">
        <f t="shared" si="100"/>
        <v>0</v>
      </c>
    </row>
    <row r="795" spans="2:8" hidden="1" outlineLevel="2" x14ac:dyDescent="0.25">
      <c r="B795" s="1" t="s">
        <v>250</v>
      </c>
      <c r="C795" s="44">
        <v>786.65</v>
      </c>
      <c r="E795" s="50">
        <v>0</v>
      </c>
      <c r="F795" s="50">
        <v>0</v>
      </c>
      <c r="G795" s="64">
        <f t="shared" si="99"/>
        <v>0</v>
      </c>
      <c r="H795" s="64">
        <f t="shared" si="100"/>
        <v>0</v>
      </c>
    </row>
    <row r="796" spans="2:8" hidden="1" outlineLevel="2" x14ac:dyDescent="0.25">
      <c r="B796" s="1" t="s">
        <v>251</v>
      </c>
      <c r="C796" s="44">
        <v>1545.82</v>
      </c>
      <c r="E796" s="50">
        <v>0</v>
      </c>
      <c r="F796" s="50">
        <v>0</v>
      </c>
      <c r="G796" s="64">
        <f t="shared" si="99"/>
        <v>0</v>
      </c>
      <c r="H796" s="64">
        <f t="shared" si="100"/>
        <v>0</v>
      </c>
    </row>
    <row r="797" spans="2:8" hidden="1" outlineLevel="2" x14ac:dyDescent="0.25">
      <c r="B797" s="1" t="s">
        <v>252</v>
      </c>
      <c r="C797" s="44">
        <v>431.48</v>
      </c>
      <c r="E797" s="50">
        <v>0</v>
      </c>
      <c r="F797" s="50">
        <v>0</v>
      </c>
      <c r="G797" s="64">
        <f t="shared" si="99"/>
        <v>0</v>
      </c>
      <c r="H797" s="64">
        <f t="shared" si="100"/>
        <v>0</v>
      </c>
    </row>
    <row r="798" spans="2:8" hidden="1" outlineLevel="2" x14ac:dyDescent="0.25">
      <c r="B798" s="1" t="s">
        <v>253</v>
      </c>
      <c r="C798" s="44">
        <v>4637.46</v>
      </c>
      <c r="E798" s="50">
        <v>0</v>
      </c>
      <c r="F798" s="50">
        <v>0</v>
      </c>
      <c r="G798" s="64">
        <f t="shared" si="99"/>
        <v>0</v>
      </c>
      <c r="H798" s="64">
        <f t="shared" si="100"/>
        <v>0</v>
      </c>
    </row>
    <row r="799" spans="2:8" hidden="1" outlineLevel="2" x14ac:dyDescent="0.25">
      <c r="B799" s="1" t="s">
        <v>254</v>
      </c>
      <c r="C799" s="44">
        <v>0</v>
      </c>
      <c r="E799" s="50">
        <v>0</v>
      </c>
      <c r="F799" s="50">
        <v>0</v>
      </c>
      <c r="G799" s="64">
        <f t="shared" si="99"/>
        <v>0</v>
      </c>
      <c r="H799" s="64">
        <f t="shared" si="100"/>
        <v>0</v>
      </c>
    </row>
    <row r="800" spans="2:8" hidden="1" outlineLevel="2" x14ac:dyDescent="0.25">
      <c r="B800" s="1" t="s">
        <v>255</v>
      </c>
      <c r="C800" s="44">
        <v>1865.46</v>
      </c>
      <c r="E800" s="50">
        <v>0</v>
      </c>
      <c r="F800" s="50">
        <v>0</v>
      </c>
      <c r="G800" s="64">
        <f t="shared" si="99"/>
        <v>0</v>
      </c>
      <c r="H800" s="64">
        <f t="shared" si="100"/>
        <v>0</v>
      </c>
    </row>
    <row r="801" spans="2:8" hidden="1" outlineLevel="2" x14ac:dyDescent="0.25">
      <c r="B801" s="1" t="s">
        <v>256</v>
      </c>
      <c r="C801" s="44">
        <v>711.4</v>
      </c>
      <c r="E801" s="50">
        <v>0</v>
      </c>
      <c r="F801" s="50">
        <v>0</v>
      </c>
      <c r="G801" s="64">
        <f t="shared" si="99"/>
        <v>0</v>
      </c>
      <c r="H801" s="64">
        <f t="shared" si="100"/>
        <v>0</v>
      </c>
    </row>
    <row r="802" spans="2:8" hidden="1" outlineLevel="2" x14ac:dyDescent="0.25">
      <c r="B802" s="1" t="s">
        <v>257</v>
      </c>
      <c r="C802" s="44">
        <v>564.32000000000005</v>
      </c>
      <c r="E802" s="50">
        <v>0</v>
      </c>
      <c r="F802" s="50">
        <v>0</v>
      </c>
      <c r="G802" s="64">
        <f t="shared" si="99"/>
        <v>0</v>
      </c>
      <c r="H802" s="64">
        <f t="shared" si="100"/>
        <v>0</v>
      </c>
    </row>
    <row r="803" spans="2:8" hidden="1" outlineLevel="2" x14ac:dyDescent="0.25">
      <c r="B803" s="1" t="s">
        <v>258</v>
      </c>
      <c r="C803" s="44">
        <v>1422.8</v>
      </c>
      <c r="E803" s="50">
        <v>0</v>
      </c>
      <c r="F803" s="50">
        <v>0</v>
      </c>
      <c r="G803" s="64">
        <f t="shared" si="99"/>
        <v>0</v>
      </c>
      <c r="H803" s="64">
        <f t="shared" si="100"/>
        <v>0</v>
      </c>
    </row>
    <row r="804" spans="2:8" hidden="1" outlineLevel="2" x14ac:dyDescent="0.25">
      <c r="B804" s="1" t="s">
        <v>259</v>
      </c>
      <c r="C804" s="44">
        <v>564.32000000000005</v>
      </c>
      <c r="E804" s="50">
        <v>0</v>
      </c>
      <c r="F804" s="50">
        <v>0</v>
      </c>
      <c r="G804" s="64">
        <f t="shared" si="99"/>
        <v>0</v>
      </c>
      <c r="H804" s="64">
        <f t="shared" si="100"/>
        <v>0</v>
      </c>
    </row>
    <row r="805" spans="2:8" hidden="1" outlineLevel="2" x14ac:dyDescent="0.25">
      <c r="B805" s="1" t="s">
        <v>260</v>
      </c>
      <c r="C805" s="44">
        <v>2845.6</v>
      </c>
      <c r="E805" s="50">
        <v>0</v>
      </c>
      <c r="F805" s="50">
        <v>0</v>
      </c>
      <c r="G805" s="64">
        <f t="shared" si="99"/>
        <v>0</v>
      </c>
      <c r="H805" s="64">
        <f t="shared" si="100"/>
        <v>0</v>
      </c>
    </row>
    <row r="806" spans="2:8" hidden="1" outlineLevel="2" x14ac:dyDescent="0.25">
      <c r="B806" s="1" t="s">
        <v>261</v>
      </c>
      <c r="C806" s="44">
        <v>1185</v>
      </c>
      <c r="E806" s="50">
        <v>0</v>
      </c>
      <c r="F806" s="50">
        <v>0</v>
      </c>
      <c r="G806" s="64">
        <f t="shared" si="99"/>
        <v>0</v>
      </c>
      <c r="H806" s="64">
        <f t="shared" si="100"/>
        <v>0</v>
      </c>
    </row>
    <row r="807" spans="2:8" hidden="1" outlineLevel="2" x14ac:dyDescent="0.25">
      <c r="B807" s="1" t="s">
        <v>262</v>
      </c>
      <c r="C807" s="44">
        <v>1765.02</v>
      </c>
      <c r="E807" s="50">
        <v>0</v>
      </c>
      <c r="F807" s="50">
        <v>0</v>
      </c>
      <c r="G807" s="64">
        <f t="shared" si="99"/>
        <v>0</v>
      </c>
      <c r="H807" s="64">
        <f t="shared" si="100"/>
        <v>0</v>
      </c>
    </row>
    <row r="808" spans="2:8" hidden="1" outlineLevel="2" x14ac:dyDescent="0.25">
      <c r="B808" s="1" t="s">
        <v>263</v>
      </c>
      <c r="C808" s="44">
        <v>2271.96</v>
      </c>
      <c r="E808" s="50">
        <v>0</v>
      </c>
      <c r="F808" s="50">
        <v>0</v>
      </c>
      <c r="G808" s="64">
        <f t="shared" si="99"/>
        <v>0</v>
      </c>
      <c r="H808" s="64">
        <f t="shared" si="100"/>
        <v>0</v>
      </c>
    </row>
    <row r="809" spans="2:8" hidden="1" outlineLevel="2" x14ac:dyDescent="0.25">
      <c r="B809" s="1" t="s">
        <v>264</v>
      </c>
      <c r="C809" s="44">
        <v>1176.68</v>
      </c>
      <c r="E809" s="50">
        <v>0</v>
      </c>
      <c r="F809" s="50">
        <v>0</v>
      </c>
      <c r="G809" s="64">
        <f t="shared" si="99"/>
        <v>0</v>
      </c>
      <c r="H809" s="64">
        <f t="shared" si="100"/>
        <v>0</v>
      </c>
    </row>
    <row r="810" spans="2:8" hidden="1" outlineLevel="2" x14ac:dyDescent="0.25">
      <c r="B810" s="1" t="s">
        <v>265</v>
      </c>
      <c r="C810" s="44">
        <v>592.5</v>
      </c>
      <c r="E810" s="50">
        <v>0</v>
      </c>
      <c r="F810" s="50">
        <v>0</v>
      </c>
      <c r="G810" s="64">
        <f t="shared" si="99"/>
        <v>0</v>
      </c>
      <c r="H810" s="64">
        <f t="shared" si="100"/>
        <v>0</v>
      </c>
    </row>
    <row r="811" spans="2:8" hidden="1" outlineLevel="2" x14ac:dyDescent="0.25">
      <c r="B811" s="1" t="s">
        <v>266</v>
      </c>
      <c r="C811" s="44">
        <v>4417.83</v>
      </c>
      <c r="E811" s="50">
        <v>0</v>
      </c>
      <c r="F811" s="50">
        <v>0</v>
      </c>
      <c r="G811" s="64">
        <f t="shared" si="99"/>
        <v>0</v>
      </c>
      <c r="H811" s="64">
        <f t="shared" si="100"/>
        <v>0</v>
      </c>
    </row>
    <row r="812" spans="2:8" hidden="1" outlineLevel="2" x14ac:dyDescent="0.25">
      <c r="B812" s="1" t="s">
        <v>267</v>
      </c>
      <c r="C812" s="44">
        <v>2656.08</v>
      </c>
      <c r="E812" s="50">
        <v>0</v>
      </c>
      <c r="F812" s="50">
        <v>0</v>
      </c>
      <c r="G812" s="64">
        <f t="shared" si="99"/>
        <v>0</v>
      </c>
      <c r="H812" s="64">
        <f t="shared" si="100"/>
        <v>0</v>
      </c>
    </row>
    <row r="813" spans="2:8" hidden="1" outlineLevel="2" x14ac:dyDescent="0.25">
      <c r="B813" s="1" t="s">
        <v>268</v>
      </c>
      <c r="C813" s="44">
        <v>5226.34</v>
      </c>
      <c r="E813" s="50">
        <v>0</v>
      </c>
      <c r="F813" s="50">
        <v>0</v>
      </c>
      <c r="G813" s="64">
        <f t="shared" si="99"/>
        <v>0</v>
      </c>
      <c r="H813" s="64">
        <f t="shared" si="100"/>
        <v>0</v>
      </c>
    </row>
    <row r="814" spans="2:8" hidden="1" outlineLevel="2" x14ac:dyDescent="0.25">
      <c r="B814" s="1" t="s">
        <v>380</v>
      </c>
      <c r="C814" s="44">
        <v>1306.58</v>
      </c>
      <c r="E814" s="50">
        <v>0</v>
      </c>
      <c r="F814" s="50">
        <v>0</v>
      </c>
      <c r="G814" s="64">
        <f t="shared" si="99"/>
        <v>0</v>
      </c>
      <c r="H814" s="64">
        <f t="shared" si="100"/>
        <v>0</v>
      </c>
    </row>
    <row r="815" spans="2:8" hidden="1" outlineLevel="2" x14ac:dyDescent="0.25">
      <c r="B815" s="1" t="s">
        <v>381</v>
      </c>
      <c r="C815" s="44">
        <v>287.5</v>
      </c>
      <c r="E815" s="50">
        <v>0</v>
      </c>
      <c r="F815" s="50">
        <v>0</v>
      </c>
      <c r="G815" s="64">
        <f t="shared" si="99"/>
        <v>0</v>
      </c>
      <c r="H815" s="64">
        <f t="shared" si="100"/>
        <v>0</v>
      </c>
    </row>
    <row r="816" spans="2:8" hidden="1" outlineLevel="2" x14ac:dyDescent="0.25">
      <c r="B816" s="1" t="s">
        <v>382</v>
      </c>
      <c r="C816" s="44">
        <v>287.5</v>
      </c>
      <c r="E816" s="50">
        <v>0</v>
      </c>
      <c r="F816" s="50">
        <v>0</v>
      </c>
      <c r="G816" s="64">
        <f t="shared" si="99"/>
        <v>0</v>
      </c>
      <c r="H816" s="64">
        <f t="shared" si="100"/>
        <v>0</v>
      </c>
    </row>
    <row r="817" spans="2:10" hidden="1" outlineLevel="2" x14ac:dyDescent="0.25">
      <c r="B817" s="1" t="s">
        <v>383</v>
      </c>
      <c r="C817" s="44">
        <v>2157.4</v>
      </c>
      <c r="E817" s="50">
        <v>0</v>
      </c>
      <c r="F817" s="50">
        <v>0</v>
      </c>
      <c r="G817" s="64">
        <f t="shared" si="99"/>
        <v>0</v>
      </c>
      <c r="H817" s="64">
        <f t="shared" si="100"/>
        <v>0</v>
      </c>
    </row>
    <row r="818" spans="2:10" hidden="1" outlineLevel="2" x14ac:dyDescent="0.25">
      <c r="B818" s="1" t="s">
        <v>384</v>
      </c>
      <c r="C818" s="44">
        <v>2318.73</v>
      </c>
      <c r="E818" s="50">
        <v>0</v>
      </c>
      <c r="F818" s="50">
        <v>0</v>
      </c>
      <c r="G818" s="64">
        <f t="shared" si="99"/>
        <v>0</v>
      </c>
      <c r="H818" s="64">
        <f t="shared" si="100"/>
        <v>0</v>
      </c>
    </row>
    <row r="819" spans="2:10" hidden="1" outlineLevel="2" x14ac:dyDescent="0.25">
      <c r="B819" s="1" t="s">
        <v>269</v>
      </c>
      <c r="C819" s="44">
        <v>663.84</v>
      </c>
      <c r="E819" s="50">
        <v>0</v>
      </c>
      <c r="F819" s="50">
        <v>0</v>
      </c>
      <c r="G819" s="64">
        <f t="shared" si="99"/>
        <v>0</v>
      </c>
      <c r="H819" s="64">
        <f t="shared" si="100"/>
        <v>0</v>
      </c>
    </row>
    <row r="820" spans="2:10" hidden="1" outlineLevel="2" x14ac:dyDescent="0.25">
      <c r="B820" s="1" t="s">
        <v>270</v>
      </c>
      <c r="C820" s="44">
        <v>742.81</v>
      </c>
      <c r="E820" s="50">
        <v>0</v>
      </c>
      <c r="F820" s="50">
        <v>0</v>
      </c>
      <c r="G820" s="64">
        <f t="shared" si="99"/>
        <v>0</v>
      </c>
      <c r="H820" s="64">
        <f t="shared" si="100"/>
        <v>0</v>
      </c>
    </row>
    <row r="821" spans="2:10" outlineLevel="1" collapsed="1" x14ac:dyDescent="0.25">
      <c r="B821" s="60" t="s">
        <v>271</v>
      </c>
      <c r="C821" s="61">
        <v>12289.42</v>
      </c>
      <c r="E821" s="62">
        <f>+G821/C821</f>
        <v>0</v>
      </c>
      <c r="F821" s="62">
        <f>+H821/C821</f>
        <v>1</v>
      </c>
      <c r="G821" s="63">
        <f>+G822+G823</f>
        <v>0</v>
      </c>
      <c r="H821" s="63">
        <f>+H822+H823</f>
        <v>12289.42</v>
      </c>
      <c r="J821" s="79">
        <f t="shared" ref="J821" si="101">+F821-E821</f>
        <v>1</v>
      </c>
    </row>
    <row r="822" spans="2:10" hidden="1" outlineLevel="2" x14ac:dyDescent="0.25">
      <c r="B822" s="1" t="s">
        <v>272</v>
      </c>
      <c r="C822" s="44">
        <v>11607.8</v>
      </c>
      <c r="E822" s="50">
        <v>0</v>
      </c>
      <c r="F822" s="50">
        <v>1</v>
      </c>
      <c r="G822" s="64">
        <f>+E822*C822</f>
        <v>0</v>
      </c>
      <c r="H822" s="64">
        <f>+F822*C822</f>
        <v>11607.8</v>
      </c>
    </row>
    <row r="823" spans="2:10" hidden="1" outlineLevel="2" x14ac:dyDescent="0.25">
      <c r="B823" s="1" t="s">
        <v>81</v>
      </c>
      <c r="C823" s="44">
        <v>681.62</v>
      </c>
      <c r="E823" s="50">
        <v>0</v>
      </c>
      <c r="F823" s="50">
        <v>1</v>
      </c>
      <c r="G823" s="64">
        <f>+E823*C823</f>
        <v>0</v>
      </c>
      <c r="H823" s="64">
        <f>+F823*C823</f>
        <v>681.62</v>
      </c>
    </row>
    <row r="824" spans="2:10" outlineLevel="1" collapsed="1" x14ac:dyDescent="0.25">
      <c r="B824" s="60" t="s">
        <v>273</v>
      </c>
      <c r="C824" s="61">
        <v>47416.79</v>
      </c>
      <c r="E824" s="62"/>
      <c r="F824" s="62"/>
      <c r="G824" s="63"/>
      <c r="H824" s="63"/>
    </row>
    <row r="825" spans="2:10" hidden="1" outlineLevel="2" x14ac:dyDescent="0.25">
      <c r="B825" s="1" t="s">
        <v>385</v>
      </c>
      <c r="C825" s="44">
        <v>13692.87</v>
      </c>
      <c r="E825" s="50">
        <v>0</v>
      </c>
      <c r="F825" s="50">
        <v>0</v>
      </c>
      <c r="G825" s="64">
        <f t="shared" ref="G825:G833" si="102">+E825*C825</f>
        <v>0</v>
      </c>
      <c r="H825" s="64">
        <f t="shared" ref="H825:H833" si="103">+F825*C825</f>
        <v>0</v>
      </c>
    </row>
    <row r="826" spans="2:10" hidden="1" outlineLevel="2" x14ac:dyDescent="0.25">
      <c r="B826" s="1" t="s">
        <v>386</v>
      </c>
      <c r="C826" s="44">
        <v>1447.83</v>
      </c>
      <c r="E826" s="50">
        <v>0</v>
      </c>
      <c r="F826" s="50">
        <v>0</v>
      </c>
      <c r="G826" s="64">
        <f t="shared" si="102"/>
        <v>0</v>
      </c>
      <c r="H826" s="64">
        <f t="shared" si="103"/>
        <v>0</v>
      </c>
    </row>
    <row r="827" spans="2:10" hidden="1" outlineLevel="2" x14ac:dyDescent="0.25">
      <c r="B827" s="1" t="s">
        <v>387</v>
      </c>
      <c r="C827" s="44">
        <v>7359.9</v>
      </c>
      <c r="E827" s="50">
        <v>0</v>
      </c>
      <c r="F827" s="50">
        <v>0</v>
      </c>
      <c r="G827" s="64">
        <f t="shared" si="102"/>
        <v>0</v>
      </c>
      <c r="H827" s="64">
        <f t="shared" si="103"/>
        <v>0</v>
      </c>
    </row>
    <row r="828" spans="2:10" hidden="1" outlineLevel="2" x14ac:dyDescent="0.25">
      <c r="B828" s="1" t="s">
        <v>388</v>
      </c>
      <c r="C828" s="44">
        <v>5979.92</v>
      </c>
      <c r="E828" s="50">
        <v>0</v>
      </c>
      <c r="F828" s="50">
        <v>0</v>
      </c>
      <c r="G828" s="64">
        <f t="shared" si="102"/>
        <v>0</v>
      </c>
      <c r="H828" s="64">
        <f t="shared" si="103"/>
        <v>0</v>
      </c>
    </row>
    <row r="829" spans="2:10" hidden="1" outlineLevel="2" x14ac:dyDescent="0.25">
      <c r="B829" s="1" t="s">
        <v>389</v>
      </c>
      <c r="C829" s="44">
        <v>3255.54</v>
      </c>
      <c r="E829" s="50">
        <v>0</v>
      </c>
      <c r="F829" s="50">
        <v>0</v>
      </c>
      <c r="G829" s="64">
        <f t="shared" si="102"/>
        <v>0</v>
      </c>
      <c r="H829" s="64">
        <f t="shared" si="103"/>
        <v>0</v>
      </c>
    </row>
    <row r="830" spans="2:10" hidden="1" outlineLevel="2" x14ac:dyDescent="0.25">
      <c r="B830" s="1" t="s">
        <v>390</v>
      </c>
      <c r="C830" s="44">
        <v>4242.66</v>
      </c>
      <c r="E830" s="50">
        <v>0</v>
      </c>
      <c r="F830" s="50">
        <v>0</v>
      </c>
      <c r="G830" s="64">
        <f t="shared" si="102"/>
        <v>0</v>
      </c>
      <c r="H830" s="64">
        <f t="shared" si="103"/>
        <v>0</v>
      </c>
    </row>
    <row r="831" spans="2:10" hidden="1" outlineLevel="2" x14ac:dyDescent="0.25">
      <c r="B831" s="1" t="s">
        <v>391</v>
      </c>
      <c r="C831" s="44">
        <v>5242.8599999999997</v>
      </c>
      <c r="E831" s="50">
        <v>0</v>
      </c>
      <c r="F831" s="50">
        <v>0</v>
      </c>
      <c r="G831" s="64">
        <f t="shared" si="102"/>
        <v>0</v>
      </c>
      <c r="H831" s="64">
        <f t="shared" si="103"/>
        <v>0</v>
      </c>
    </row>
    <row r="832" spans="2:10" hidden="1" outlineLevel="2" x14ac:dyDescent="0.25">
      <c r="B832" s="1" t="s">
        <v>392</v>
      </c>
      <c r="C832" s="44">
        <v>4950.6899999999996</v>
      </c>
      <c r="E832" s="50">
        <v>0</v>
      </c>
      <c r="F832" s="50">
        <v>0</v>
      </c>
      <c r="G832" s="64">
        <f t="shared" si="102"/>
        <v>0</v>
      </c>
      <c r="H832" s="64">
        <f t="shared" si="103"/>
        <v>0</v>
      </c>
    </row>
    <row r="833" spans="2:8" hidden="1" outlineLevel="2" x14ac:dyDescent="0.25">
      <c r="B833" s="1" t="s">
        <v>393</v>
      </c>
      <c r="C833" s="44">
        <v>1244.52</v>
      </c>
      <c r="E833" s="50">
        <v>0</v>
      </c>
      <c r="F833" s="50">
        <v>0</v>
      </c>
      <c r="G833" s="64">
        <f t="shared" si="102"/>
        <v>0</v>
      </c>
      <c r="H833" s="64">
        <f t="shared" si="103"/>
        <v>0</v>
      </c>
    </row>
    <row r="834" spans="2:8" outlineLevel="1" collapsed="1" x14ac:dyDescent="0.25">
      <c r="B834" s="60" t="s">
        <v>282</v>
      </c>
      <c r="C834" s="61">
        <v>34791.15</v>
      </c>
      <c r="E834" s="62"/>
      <c r="F834" s="62"/>
      <c r="G834" s="63"/>
      <c r="H834" s="63"/>
    </row>
    <row r="835" spans="2:8" hidden="1" outlineLevel="2" x14ac:dyDescent="0.25">
      <c r="B835" s="1" t="s">
        <v>283</v>
      </c>
      <c r="C835" s="44">
        <v>1197.02</v>
      </c>
      <c r="E835" s="50">
        <v>0</v>
      </c>
      <c r="F835" s="50">
        <v>0</v>
      </c>
      <c r="G835" s="64">
        <f t="shared" ref="G835:G840" si="104">+E835*C835</f>
        <v>0</v>
      </c>
      <c r="H835" s="64">
        <f t="shared" ref="H835:H840" si="105">+F835*C835</f>
        <v>0</v>
      </c>
    </row>
    <row r="836" spans="2:8" hidden="1" outlineLevel="2" x14ac:dyDescent="0.25">
      <c r="B836" s="1" t="s">
        <v>284</v>
      </c>
      <c r="C836" s="44">
        <v>1437.48</v>
      </c>
      <c r="E836" s="50">
        <v>0</v>
      </c>
      <c r="F836" s="50">
        <v>0</v>
      </c>
      <c r="G836" s="64">
        <f t="shared" si="104"/>
        <v>0</v>
      </c>
      <c r="H836" s="64">
        <f t="shared" si="105"/>
        <v>0</v>
      </c>
    </row>
    <row r="837" spans="2:8" hidden="1" outlineLevel="2" x14ac:dyDescent="0.25">
      <c r="B837" s="1" t="s">
        <v>285</v>
      </c>
      <c r="C837" s="44">
        <v>431.24</v>
      </c>
      <c r="E837" s="50">
        <v>0</v>
      </c>
      <c r="F837" s="50">
        <v>0</v>
      </c>
      <c r="G837" s="64">
        <f t="shared" si="104"/>
        <v>0</v>
      </c>
      <c r="H837" s="64">
        <f t="shared" si="105"/>
        <v>0</v>
      </c>
    </row>
    <row r="838" spans="2:8" hidden="1" outlineLevel="2" x14ac:dyDescent="0.25">
      <c r="B838" s="1" t="s">
        <v>286</v>
      </c>
      <c r="C838" s="44">
        <v>7647.39</v>
      </c>
      <c r="E838" s="50">
        <v>0</v>
      </c>
      <c r="F838" s="50">
        <v>0</v>
      </c>
      <c r="G838" s="64">
        <f t="shared" si="104"/>
        <v>0</v>
      </c>
      <c r="H838" s="64">
        <f t="shared" si="105"/>
        <v>0</v>
      </c>
    </row>
    <row r="839" spans="2:8" hidden="1" outlineLevel="2" x14ac:dyDescent="0.25">
      <c r="B839" s="1" t="s">
        <v>287</v>
      </c>
      <c r="C839" s="44">
        <v>10349.86</v>
      </c>
      <c r="E839" s="50">
        <v>0</v>
      </c>
      <c r="F839" s="50">
        <v>0</v>
      </c>
      <c r="G839" s="64">
        <f t="shared" si="104"/>
        <v>0</v>
      </c>
      <c r="H839" s="64">
        <f t="shared" si="105"/>
        <v>0</v>
      </c>
    </row>
    <row r="840" spans="2:8" hidden="1" outlineLevel="2" x14ac:dyDescent="0.25">
      <c r="B840" s="1" t="s">
        <v>288</v>
      </c>
      <c r="C840" s="44">
        <v>13728.16</v>
      </c>
      <c r="E840" s="50">
        <v>0</v>
      </c>
      <c r="F840" s="50">
        <v>0</v>
      </c>
      <c r="G840" s="64">
        <f t="shared" si="104"/>
        <v>0</v>
      </c>
      <c r="H840" s="64">
        <f t="shared" si="105"/>
        <v>0</v>
      </c>
    </row>
    <row r="841" spans="2:8" outlineLevel="1" collapsed="1" x14ac:dyDescent="0.25">
      <c r="B841" s="60" t="s">
        <v>289</v>
      </c>
      <c r="C841" s="61">
        <v>45313.31</v>
      </c>
      <c r="E841" s="62"/>
      <c r="F841" s="62"/>
      <c r="G841" s="63"/>
      <c r="H841" s="63"/>
    </row>
    <row r="842" spans="2:8" hidden="1" outlineLevel="2" x14ac:dyDescent="0.25">
      <c r="B842" s="1" t="s">
        <v>394</v>
      </c>
      <c r="C842" s="44">
        <v>1472.5</v>
      </c>
      <c r="E842" s="50">
        <v>0</v>
      </c>
      <c r="F842" s="50">
        <v>0</v>
      </c>
      <c r="G842" s="64">
        <f t="shared" ref="G842:G849" si="106">+E842*C842</f>
        <v>0</v>
      </c>
      <c r="H842" s="64">
        <f t="shared" ref="H842:H849" si="107">+F842*C842</f>
        <v>0</v>
      </c>
    </row>
    <row r="843" spans="2:8" hidden="1" outlineLevel="2" x14ac:dyDescent="0.25">
      <c r="B843" s="1" t="s">
        <v>395</v>
      </c>
      <c r="C843" s="44">
        <v>3219.96</v>
      </c>
      <c r="E843" s="50">
        <v>0</v>
      </c>
      <c r="F843" s="50">
        <v>0</v>
      </c>
      <c r="G843" s="64">
        <f t="shared" si="106"/>
        <v>0</v>
      </c>
      <c r="H843" s="64">
        <f t="shared" si="107"/>
        <v>0</v>
      </c>
    </row>
    <row r="844" spans="2:8" hidden="1" outlineLevel="2" x14ac:dyDescent="0.25">
      <c r="B844" s="1" t="s">
        <v>396</v>
      </c>
      <c r="C844" s="44">
        <v>9168.7800000000007</v>
      </c>
      <c r="E844" s="50">
        <v>0</v>
      </c>
      <c r="F844" s="50">
        <v>0</v>
      </c>
      <c r="G844" s="64">
        <f t="shared" si="106"/>
        <v>0</v>
      </c>
      <c r="H844" s="64">
        <f t="shared" si="107"/>
        <v>0</v>
      </c>
    </row>
    <row r="845" spans="2:8" hidden="1" outlineLevel="2" x14ac:dyDescent="0.25">
      <c r="B845" s="1" t="s">
        <v>397</v>
      </c>
      <c r="C845" s="44">
        <v>3104.94</v>
      </c>
      <c r="E845" s="50">
        <v>0</v>
      </c>
      <c r="F845" s="50">
        <v>0</v>
      </c>
      <c r="G845" s="64">
        <f t="shared" si="106"/>
        <v>0</v>
      </c>
      <c r="H845" s="64">
        <f t="shared" si="107"/>
        <v>0</v>
      </c>
    </row>
    <row r="846" spans="2:8" hidden="1" outlineLevel="2" x14ac:dyDescent="0.25">
      <c r="B846" s="1" t="s">
        <v>398</v>
      </c>
      <c r="C846" s="44">
        <v>19319.759999999998</v>
      </c>
      <c r="E846" s="50">
        <v>0</v>
      </c>
      <c r="F846" s="50">
        <v>0</v>
      </c>
      <c r="G846" s="64">
        <f t="shared" si="106"/>
        <v>0</v>
      </c>
      <c r="H846" s="64">
        <f t="shared" si="107"/>
        <v>0</v>
      </c>
    </row>
    <row r="847" spans="2:8" hidden="1" outlineLevel="2" x14ac:dyDescent="0.25">
      <c r="B847" s="1" t="s">
        <v>399</v>
      </c>
      <c r="C847" s="44">
        <v>7129.92</v>
      </c>
      <c r="E847" s="50">
        <v>0</v>
      </c>
      <c r="F847" s="50">
        <v>0</v>
      </c>
      <c r="G847" s="64">
        <f t="shared" si="106"/>
        <v>0</v>
      </c>
      <c r="H847" s="64">
        <f t="shared" si="107"/>
        <v>0</v>
      </c>
    </row>
    <row r="848" spans="2:8" hidden="1" outlineLevel="2" x14ac:dyDescent="0.25">
      <c r="B848" s="1" t="s">
        <v>400</v>
      </c>
      <c r="C848" s="44">
        <v>0</v>
      </c>
      <c r="E848" s="50">
        <v>0</v>
      </c>
      <c r="F848" s="50">
        <v>0</v>
      </c>
      <c r="G848" s="64">
        <f t="shared" si="106"/>
        <v>0</v>
      </c>
      <c r="H848" s="64">
        <f t="shared" si="107"/>
        <v>0</v>
      </c>
    </row>
    <row r="849" spans="2:10" hidden="1" outlineLevel="2" x14ac:dyDescent="0.25">
      <c r="B849" s="1" t="s">
        <v>401</v>
      </c>
      <c r="C849" s="44">
        <v>1897.45</v>
      </c>
      <c r="E849" s="50">
        <v>0</v>
      </c>
      <c r="F849" s="50">
        <v>0</v>
      </c>
      <c r="G849" s="64">
        <f t="shared" si="106"/>
        <v>0</v>
      </c>
      <c r="H849" s="64">
        <f t="shared" si="107"/>
        <v>0</v>
      </c>
    </row>
    <row r="850" spans="2:10" outlineLevel="1" collapsed="1" x14ac:dyDescent="0.25">
      <c r="B850" s="60" t="s">
        <v>402</v>
      </c>
      <c r="C850" s="61">
        <v>861.34</v>
      </c>
      <c r="E850" s="62"/>
      <c r="F850" s="62"/>
      <c r="G850" s="63"/>
      <c r="H850" s="63"/>
    </row>
    <row r="851" spans="2:10" hidden="1" outlineLevel="2" x14ac:dyDescent="0.25">
      <c r="B851" s="1" t="s">
        <v>403</v>
      </c>
      <c r="C851" s="44">
        <v>861.34</v>
      </c>
      <c r="E851" s="50">
        <v>0</v>
      </c>
      <c r="F851" s="50">
        <v>0</v>
      </c>
      <c r="G851" s="64">
        <f>+E851*C851</f>
        <v>0</v>
      </c>
      <c r="H851" s="64">
        <f>+F851*C851</f>
        <v>0</v>
      </c>
    </row>
    <row r="852" spans="2:10" outlineLevel="1" collapsed="1" x14ac:dyDescent="0.25">
      <c r="B852" s="60" t="s">
        <v>297</v>
      </c>
      <c r="C852" s="61">
        <v>24252.36</v>
      </c>
      <c r="E852" s="62"/>
      <c r="F852" s="62"/>
      <c r="G852" s="63"/>
      <c r="H852" s="63"/>
    </row>
    <row r="853" spans="2:10" hidden="1" outlineLevel="2" x14ac:dyDescent="0.25">
      <c r="B853" s="1" t="s">
        <v>246</v>
      </c>
      <c r="C853" s="44">
        <v>9859.86</v>
      </c>
      <c r="E853" s="50">
        <v>0</v>
      </c>
      <c r="F853" s="50">
        <v>0</v>
      </c>
      <c r="G853" s="64">
        <f>+E853*C853</f>
        <v>0</v>
      </c>
      <c r="H853" s="64">
        <f>+F853*C853</f>
        <v>0</v>
      </c>
    </row>
    <row r="854" spans="2:10" hidden="1" outlineLevel="2" x14ac:dyDescent="0.25">
      <c r="B854" s="1" t="s">
        <v>298</v>
      </c>
      <c r="C854" s="44">
        <v>14392.5</v>
      </c>
      <c r="E854" s="50">
        <v>0</v>
      </c>
      <c r="F854" s="50">
        <v>0</v>
      </c>
      <c r="G854" s="64">
        <f>+E854*C854</f>
        <v>0</v>
      </c>
      <c r="H854" s="64">
        <f>+F854*C854</f>
        <v>0</v>
      </c>
    </row>
    <row r="855" spans="2:10" outlineLevel="1" collapsed="1" x14ac:dyDescent="0.25">
      <c r="B855" s="60" t="s">
        <v>293</v>
      </c>
      <c r="C855" s="61">
        <v>21640</v>
      </c>
      <c r="E855" s="62"/>
      <c r="F855" s="62"/>
      <c r="G855" s="63"/>
      <c r="H855" s="63"/>
    </row>
    <row r="856" spans="2:10" hidden="1" outlineLevel="2" x14ac:dyDescent="0.25">
      <c r="B856" s="1" t="s">
        <v>294</v>
      </c>
      <c r="C856" s="44">
        <v>14290.2</v>
      </c>
      <c r="E856" s="50">
        <v>0</v>
      </c>
      <c r="F856" s="50">
        <v>0</v>
      </c>
      <c r="G856" s="64">
        <f>+E856*C856</f>
        <v>0</v>
      </c>
      <c r="H856" s="64">
        <f>+F856*C856</f>
        <v>0</v>
      </c>
    </row>
    <row r="857" spans="2:10" hidden="1" outlineLevel="2" x14ac:dyDescent="0.25">
      <c r="B857" s="1" t="s">
        <v>295</v>
      </c>
      <c r="C857" s="44">
        <v>5509.8</v>
      </c>
      <c r="E857" s="50">
        <v>0</v>
      </c>
      <c r="F857" s="50">
        <v>0</v>
      </c>
      <c r="G857" s="64">
        <f>+E857*C857</f>
        <v>0</v>
      </c>
      <c r="H857" s="64">
        <f>+F857*C857</f>
        <v>0</v>
      </c>
    </row>
    <row r="858" spans="2:10" hidden="1" outlineLevel="2" x14ac:dyDescent="0.25">
      <c r="B858" s="1" t="s">
        <v>296</v>
      </c>
      <c r="C858" s="44">
        <v>1840</v>
      </c>
      <c r="E858" s="50">
        <v>0</v>
      </c>
      <c r="F858" s="50">
        <v>0</v>
      </c>
      <c r="G858" s="64">
        <f>+E858*C858</f>
        <v>0</v>
      </c>
      <c r="H858" s="64">
        <f>+F858*C858</f>
        <v>0</v>
      </c>
    </row>
    <row r="859" spans="2:10" outlineLevel="1" collapsed="1" x14ac:dyDescent="0.25">
      <c r="C859" s="44"/>
      <c r="G859" s="64"/>
      <c r="H859" s="64"/>
    </row>
    <row r="860" spans="2:10" x14ac:dyDescent="0.25">
      <c r="B860" s="45" t="s">
        <v>404</v>
      </c>
      <c r="C860" s="46">
        <f>+C861+C863+C866+C892+C907+C909+C935+C949+C968+C977+C980+C983+C1010+C1019+C1027+C1044+C1046+C1049+C1060+C1066+C1075+C1090+C1121+C1124+C1134+C1141+C1150+C1152+C1155</f>
        <v>2435578.5999999996</v>
      </c>
      <c r="E860" s="59">
        <f>+G860/C860</f>
        <v>0.10925720278540797</v>
      </c>
      <c r="F860" s="59">
        <f>+H860/C860</f>
        <v>8.8439239037491971E-2</v>
      </c>
      <c r="G860" s="58">
        <f>+G861+G863+G866+G1121+G892</f>
        <v>266104.505</v>
      </c>
      <c r="H860" s="58">
        <f>+H861+H863+H866+H1121+H892</f>
        <v>215400.71799999999</v>
      </c>
      <c r="J860" s="97">
        <f t="shared" ref="J860:J863" si="108">+F860-E860</f>
        <v>-2.0817963747916002E-2</v>
      </c>
    </row>
    <row r="861" spans="2:10" outlineLevel="1" x14ac:dyDescent="0.25">
      <c r="B861" s="60" t="s">
        <v>78</v>
      </c>
      <c r="C861" s="61">
        <v>9070.2000000000007</v>
      </c>
      <c r="E861" s="62">
        <f>+G861/C861</f>
        <v>1</v>
      </c>
      <c r="F861" s="62">
        <f>+H861/C861</f>
        <v>1</v>
      </c>
      <c r="G861" s="63">
        <f>+G862</f>
        <v>9070.2000000000007</v>
      </c>
      <c r="H861" s="63">
        <f>+H862</f>
        <v>9070.2000000000007</v>
      </c>
      <c r="J861" s="89">
        <f t="shared" si="108"/>
        <v>0</v>
      </c>
    </row>
    <row r="862" spans="2:10" hidden="1" outlineLevel="2" x14ac:dyDescent="0.25">
      <c r="B862" s="1" t="s">
        <v>79</v>
      </c>
      <c r="C862" s="44">
        <v>9070.2000000000007</v>
      </c>
      <c r="E862" s="50">
        <v>1</v>
      </c>
      <c r="F862" s="50">
        <v>1</v>
      </c>
      <c r="G862" s="64">
        <f>+E862*C862</f>
        <v>9070.2000000000007</v>
      </c>
      <c r="H862" s="64">
        <f>+F862*C862</f>
        <v>9070.2000000000007</v>
      </c>
    </row>
    <row r="863" spans="2:10" outlineLevel="1" collapsed="1" x14ac:dyDescent="0.25">
      <c r="B863" s="60" t="s">
        <v>80</v>
      </c>
      <c r="C863" s="61">
        <v>1855.37</v>
      </c>
      <c r="E863" s="62">
        <f>+G863/C863</f>
        <v>1</v>
      </c>
      <c r="F863" s="62">
        <f>+H863/C863</f>
        <v>1</v>
      </c>
      <c r="G863" s="63">
        <f>+G864+G865</f>
        <v>1855.37</v>
      </c>
      <c r="H863" s="63">
        <f>+H864+H865</f>
        <v>1855.37</v>
      </c>
      <c r="J863" s="89">
        <f t="shared" si="108"/>
        <v>0</v>
      </c>
    </row>
    <row r="864" spans="2:10" hidden="1" outlineLevel="2" x14ac:dyDescent="0.25">
      <c r="B864" s="1" t="s">
        <v>81</v>
      </c>
      <c r="C864" s="44">
        <v>1118.55</v>
      </c>
      <c r="E864" s="50">
        <v>1</v>
      </c>
      <c r="F864" s="50">
        <v>1</v>
      </c>
      <c r="G864" s="64">
        <f>+E864*C864</f>
        <v>1118.55</v>
      </c>
      <c r="H864" s="64">
        <f>+F864*C864</f>
        <v>1118.55</v>
      </c>
    </row>
    <row r="865" spans="2:10" hidden="1" outlineLevel="2" x14ac:dyDescent="0.25">
      <c r="B865" s="1" t="s">
        <v>82</v>
      </c>
      <c r="C865" s="44">
        <v>736.82</v>
      </c>
      <c r="E865" s="50">
        <v>1</v>
      </c>
      <c r="F865" s="50">
        <v>1</v>
      </c>
      <c r="G865" s="64">
        <f>+E865*C865</f>
        <v>736.82</v>
      </c>
      <c r="H865" s="64">
        <f>+F865*C865</f>
        <v>736.82</v>
      </c>
    </row>
    <row r="866" spans="2:10" outlineLevel="1" collapsed="1" x14ac:dyDescent="0.25">
      <c r="B866" s="60" t="s">
        <v>83</v>
      </c>
      <c r="C866" s="61">
        <v>183681.82</v>
      </c>
      <c r="E866" s="62">
        <f>+G866/C866</f>
        <v>0.99999999999999989</v>
      </c>
      <c r="F866" s="62">
        <f>+H866/C866</f>
        <v>0.99999999999999989</v>
      </c>
      <c r="G866" s="63">
        <f>SUM(G867:G891)</f>
        <v>183681.81999999998</v>
      </c>
      <c r="H866" s="63">
        <f>SUM(H867:H891)</f>
        <v>183681.81999999998</v>
      </c>
      <c r="J866" s="89">
        <f t="shared" ref="J866" si="109">+F866-E866</f>
        <v>0</v>
      </c>
    </row>
    <row r="867" spans="2:10" hidden="1" outlineLevel="2" x14ac:dyDescent="0.25">
      <c r="B867" s="1" t="s">
        <v>84</v>
      </c>
      <c r="C867" s="44">
        <v>10207.56</v>
      </c>
      <c r="E867" s="50">
        <v>1</v>
      </c>
      <c r="F867" s="50">
        <v>1</v>
      </c>
      <c r="G867" s="64">
        <f t="shared" ref="G867:G891" si="110">+E867*C867</f>
        <v>10207.56</v>
      </c>
      <c r="H867" s="64">
        <f t="shared" ref="H867:H891" si="111">+F867*C867</f>
        <v>10207.56</v>
      </c>
    </row>
    <row r="868" spans="2:10" hidden="1" outlineLevel="2" x14ac:dyDescent="0.25">
      <c r="B868" s="1" t="s">
        <v>85</v>
      </c>
      <c r="C868" s="44">
        <v>5045.08</v>
      </c>
      <c r="E868" s="50">
        <v>1</v>
      </c>
      <c r="F868" s="50">
        <v>1</v>
      </c>
      <c r="G868" s="64">
        <f t="shared" si="110"/>
        <v>5045.08</v>
      </c>
      <c r="H868" s="64">
        <f t="shared" si="111"/>
        <v>5045.08</v>
      </c>
    </row>
    <row r="869" spans="2:10" hidden="1" outlineLevel="2" x14ac:dyDescent="0.25">
      <c r="B869" s="1" t="s">
        <v>86</v>
      </c>
      <c r="C869" s="44">
        <v>3100.09</v>
      </c>
      <c r="E869" s="50">
        <v>1</v>
      </c>
      <c r="F869" s="50">
        <v>1</v>
      </c>
      <c r="G869" s="64">
        <f t="shared" si="110"/>
        <v>3100.09</v>
      </c>
      <c r="H869" s="64">
        <f t="shared" si="111"/>
        <v>3100.09</v>
      </c>
    </row>
    <row r="870" spans="2:10" hidden="1" outlineLevel="2" x14ac:dyDescent="0.25">
      <c r="B870" s="1" t="s">
        <v>87</v>
      </c>
      <c r="C870" s="44">
        <v>2653.92</v>
      </c>
      <c r="E870" s="50">
        <v>1</v>
      </c>
      <c r="F870" s="50">
        <v>1</v>
      </c>
      <c r="G870" s="64">
        <f t="shared" si="110"/>
        <v>2653.92</v>
      </c>
      <c r="H870" s="64">
        <f t="shared" si="111"/>
        <v>2653.92</v>
      </c>
    </row>
    <row r="871" spans="2:10" hidden="1" outlineLevel="2" x14ac:dyDescent="0.25">
      <c r="B871" s="1" t="s">
        <v>88</v>
      </c>
      <c r="C871" s="44">
        <v>1452.12</v>
      </c>
      <c r="E871" s="50">
        <v>1</v>
      </c>
      <c r="F871" s="50">
        <v>1</v>
      </c>
      <c r="G871" s="64">
        <f t="shared" si="110"/>
        <v>1452.12</v>
      </c>
      <c r="H871" s="64">
        <f t="shared" si="111"/>
        <v>1452.12</v>
      </c>
    </row>
    <row r="872" spans="2:10" hidden="1" outlineLevel="2" x14ac:dyDescent="0.25">
      <c r="B872" s="1" t="s">
        <v>89</v>
      </c>
      <c r="C872" s="44">
        <v>2404.85</v>
      </c>
      <c r="E872" s="50">
        <v>1</v>
      </c>
      <c r="F872" s="50">
        <v>1</v>
      </c>
      <c r="G872" s="64">
        <f t="shared" si="110"/>
        <v>2404.85</v>
      </c>
      <c r="H872" s="64">
        <f t="shared" si="111"/>
        <v>2404.85</v>
      </c>
    </row>
    <row r="873" spans="2:10" hidden="1" outlineLevel="2" x14ac:dyDescent="0.25">
      <c r="B873" s="1" t="s">
        <v>90</v>
      </c>
      <c r="C873" s="44">
        <v>753.2</v>
      </c>
      <c r="E873" s="50">
        <v>1</v>
      </c>
      <c r="F873" s="50">
        <v>1</v>
      </c>
      <c r="G873" s="64">
        <f t="shared" si="110"/>
        <v>753.2</v>
      </c>
      <c r="H873" s="64">
        <f t="shared" si="111"/>
        <v>753.2</v>
      </c>
    </row>
    <row r="874" spans="2:10" hidden="1" outlineLevel="2" x14ac:dyDescent="0.25">
      <c r="B874" s="1" t="s">
        <v>91</v>
      </c>
      <c r="C874" s="44">
        <v>753.2</v>
      </c>
      <c r="E874" s="50">
        <v>1</v>
      </c>
      <c r="F874" s="50">
        <v>1</v>
      </c>
      <c r="G874" s="64">
        <f t="shared" si="110"/>
        <v>753.2</v>
      </c>
      <c r="H874" s="64">
        <f t="shared" si="111"/>
        <v>753.2</v>
      </c>
    </row>
    <row r="875" spans="2:10" hidden="1" outlineLevel="2" x14ac:dyDescent="0.25">
      <c r="B875" s="1" t="s">
        <v>300</v>
      </c>
      <c r="C875" s="44">
        <v>272.37</v>
      </c>
      <c r="E875" s="50">
        <v>1</v>
      </c>
      <c r="F875" s="50">
        <v>1</v>
      </c>
      <c r="G875" s="64">
        <f t="shared" si="110"/>
        <v>272.37</v>
      </c>
      <c r="H875" s="64">
        <f t="shared" si="111"/>
        <v>272.37</v>
      </c>
    </row>
    <row r="876" spans="2:10" hidden="1" outlineLevel="2" x14ac:dyDescent="0.25">
      <c r="B876" s="1" t="s">
        <v>92</v>
      </c>
      <c r="C876" s="44">
        <v>371.75</v>
      </c>
      <c r="E876" s="50">
        <v>1</v>
      </c>
      <c r="F876" s="50">
        <v>1</v>
      </c>
      <c r="G876" s="64">
        <f t="shared" si="110"/>
        <v>371.75</v>
      </c>
      <c r="H876" s="64">
        <f t="shared" si="111"/>
        <v>371.75</v>
      </c>
    </row>
    <row r="877" spans="2:10" hidden="1" outlineLevel="2" x14ac:dyDescent="0.25">
      <c r="B877" s="1" t="s">
        <v>93</v>
      </c>
      <c r="C877" s="44">
        <v>2465.0700000000002</v>
      </c>
      <c r="E877" s="50">
        <v>1</v>
      </c>
      <c r="F877" s="50">
        <v>1</v>
      </c>
      <c r="G877" s="64">
        <f t="shared" si="110"/>
        <v>2465.0700000000002</v>
      </c>
      <c r="H877" s="64">
        <f t="shared" si="111"/>
        <v>2465.0700000000002</v>
      </c>
    </row>
    <row r="878" spans="2:10" hidden="1" outlineLevel="2" x14ac:dyDescent="0.25">
      <c r="B878" s="1" t="s">
        <v>94</v>
      </c>
      <c r="C878" s="44">
        <v>582.14</v>
      </c>
      <c r="E878" s="50">
        <v>1</v>
      </c>
      <c r="F878" s="50">
        <v>1</v>
      </c>
      <c r="G878" s="64">
        <f t="shared" si="110"/>
        <v>582.14</v>
      </c>
      <c r="H878" s="64">
        <f t="shared" si="111"/>
        <v>582.14</v>
      </c>
    </row>
    <row r="879" spans="2:10" hidden="1" outlineLevel="2" x14ac:dyDescent="0.25">
      <c r="B879" s="1" t="s">
        <v>95</v>
      </c>
      <c r="C879" s="44">
        <v>574.99</v>
      </c>
      <c r="E879" s="50">
        <v>1</v>
      </c>
      <c r="F879" s="50">
        <v>1</v>
      </c>
      <c r="G879" s="64">
        <f t="shared" si="110"/>
        <v>574.99</v>
      </c>
      <c r="H879" s="64">
        <f t="shared" si="111"/>
        <v>574.99</v>
      </c>
    </row>
    <row r="880" spans="2:10" hidden="1" outlineLevel="2" x14ac:dyDescent="0.25">
      <c r="B880" s="1" t="s">
        <v>96</v>
      </c>
      <c r="C880" s="44">
        <v>1659.62</v>
      </c>
      <c r="E880" s="50">
        <v>1</v>
      </c>
      <c r="F880" s="50">
        <v>1</v>
      </c>
      <c r="G880" s="64">
        <f t="shared" si="110"/>
        <v>1659.62</v>
      </c>
      <c r="H880" s="64">
        <f t="shared" si="111"/>
        <v>1659.62</v>
      </c>
    </row>
    <row r="881" spans="2:10" hidden="1" outlineLevel="2" x14ac:dyDescent="0.25">
      <c r="B881" s="1" t="s">
        <v>97</v>
      </c>
      <c r="C881" s="44">
        <v>87.1</v>
      </c>
      <c r="E881" s="50">
        <v>1</v>
      </c>
      <c r="F881" s="50">
        <v>1</v>
      </c>
      <c r="G881" s="64">
        <f t="shared" si="110"/>
        <v>87.1</v>
      </c>
      <c r="H881" s="64">
        <f t="shared" si="111"/>
        <v>87.1</v>
      </c>
    </row>
    <row r="882" spans="2:10" hidden="1" outlineLevel="2" x14ac:dyDescent="0.25">
      <c r="B882" s="1" t="s">
        <v>98</v>
      </c>
      <c r="C882" s="44">
        <v>574.99</v>
      </c>
      <c r="E882" s="50">
        <v>1</v>
      </c>
      <c r="F882" s="50">
        <v>1</v>
      </c>
      <c r="G882" s="64">
        <f t="shared" si="110"/>
        <v>574.99</v>
      </c>
      <c r="H882" s="64">
        <f t="shared" si="111"/>
        <v>574.99</v>
      </c>
    </row>
    <row r="883" spans="2:10" hidden="1" outlineLevel="2" x14ac:dyDescent="0.25">
      <c r="B883" s="1" t="s">
        <v>99</v>
      </c>
      <c r="C883" s="44">
        <v>18766.14</v>
      </c>
      <c r="E883" s="50">
        <v>1</v>
      </c>
      <c r="F883" s="50">
        <v>1</v>
      </c>
      <c r="G883" s="64">
        <f t="shared" si="110"/>
        <v>18766.14</v>
      </c>
      <c r="H883" s="64">
        <f t="shared" si="111"/>
        <v>18766.14</v>
      </c>
    </row>
    <row r="884" spans="2:10" hidden="1" outlineLevel="2" x14ac:dyDescent="0.25">
      <c r="B884" s="1" t="s">
        <v>100</v>
      </c>
      <c r="C884" s="44">
        <v>11214.79</v>
      </c>
      <c r="E884" s="50">
        <v>1</v>
      </c>
      <c r="F884" s="50">
        <v>1</v>
      </c>
      <c r="G884" s="64">
        <f t="shared" si="110"/>
        <v>11214.79</v>
      </c>
      <c r="H884" s="64">
        <f t="shared" si="111"/>
        <v>11214.79</v>
      </c>
    </row>
    <row r="885" spans="2:10" hidden="1" outlineLevel="2" x14ac:dyDescent="0.25">
      <c r="B885" s="1" t="s">
        <v>101</v>
      </c>
      <c r="C885" s="44">
        <v>5062.1499999999996</v>
      </c>
      <c r="E885" s="50">
        <v>1</v>
      </c>
      <c r="F885" s="50">
        <v>1</v>
      </c>
      <c r="G885" s="64">
        <f t="shared" si="110"/>
        <v>5062.1499999999996</v>
      </c>
      <c r="H885" s="64">
        <f t="shared" si="111"/>
        <v>5062.1499999999996</v>
      </c>
    </row>
    <row r="886" spans="2:10" hidden="1" outlineLevel="2" x14ac:dyDescent="0.25">
      <c r="B886" s="1" t="s">
        <v>102</v>
      </c>
      <c r="C886" s="44">
        <v>7598.06</v>
      </c>
      <c r="E886" s="50">
        <v>1</v>
      </c>
      <c r="F886" s="50">
        <v>1</v>
      </c>
      <c r="G886" s="64">
        <f t="shared" si="110"/>
        <v>7598.06</v>
      </c>
      <c r="H886" s="64">
        <f t="shared" si="111"/>
        <v>7598.06</v>
      </c>
    </row>
    <row r="887" spans="2:10" hidden="1" outlineLevel="2" x14ac:dyDescent="0.25">
      <c r="B887" s="1" t="s">
        <v>103</v>
      </c>
      <c r="C887" s="44">
        <v>14734.01</v>
      </c>
      <c r="E887" s="50">
        <v>1</v>
      </c>
      <c r="F887" s="50">
        <v>1</v>
      </c>
      <c r="G887" s="64">
        <f t="shared" si="110"/>
        <v>14734.01</v>
      </c>
      <c r="H887" s="64">
        <f t="shared" si="111"/>
        <v>14734.01</v>
      </c>
    </row>
    <row r="888" spans="2:10" hidden="1" outlineLevel="2" x14ac:dyDescent="0.25">
      <c r="B888" s="1" t="s">
        <v>104</v>
      </c>
      <c r="C888" s="44">
        <v>50517.75</v>
      </c>
      <c r="E888" s="50">
        <v>1</v>
      </c>
      <c r="F888" s="50">
        <v>1</v>
      </c>
      <c r="G888" s="64">
        <f t="shared" si="110"/>
        <v>50517.75</v>
      </c>
      <c r="H888" s="64">
        <f t="shared" si="111"/>
        <v>50517.75</v>
      </c>
    </row>
    <row r="889" spans="2:10" hidden="1" outlineLevel="2" x14ac:dyDescent="0.25">
      <c r="B889" s="1" t="s">
        <v>105</v>
      </c>
      <c r="C889" s="44">
        <v>2501.31</v>
      </c>
      <c r="E889" s="50">
        <v>1</v>
      </c>
      <c r="F889" s="50">
        <v>1</v>
      </c>
      <c r="G889" s="64">
        <f t="shared" si="110"/>
        <v>2501.31</v>
      </c>
      <c r="H889" s="64">
        <f t="shared" si="111"/>
        <v>2501.31</v>
      </c>
    </row>
    <row r="890" spans="2:10" hidden="1" outlineLevel="2" x14ac:dyDescent="0.25">
      <c r="B890" s="1" t="s">
        <v>106</v>
      </c>
      <c r="C890" s="44">
        <v>13441.06</v>
      </c>
      <c r="E890" s="50">
        <v>1</v>
      </c>
      <c r="F890" s="50">
        <v>1</v>
      </c>
      <c r="G890" s="64">
        <f t="shared" si="110"/>
        <v>13441.06</v>
      </c>
      <c r="H890" s="64">
        <f t="shared" si="111"/>
        <v>13441.06</v>
      </c>
    </row>
    <row r="891" spans="2:10" hidden="1" outlineLevel="2" x14ac:dyDescent="0.25">
      <c r="B891" s="1" t="s">
        <v>107</v>
      </c>
      <c r="C891" s="44">
        <v>26888.5</v>
      </c>
      <c r="E891" s="50">
        <v>1</v>
      </c>
      <c r="F891" s="50">
        <v>1</v>
      </c>
      <c r="G891" s="64">
        <f t="shared" si="110"/>
        <v>26888.5</v>
      </c>
      <c r="H891" s="64">
        <f t="shared" si="111"/>
        <v>26888.5</v>
      </c>
    </row>
    <row r="892" spans="2:10" outlineLevel="1" collapsed="1" x14ac:dyDescent="0.25">
      <c r="B892" s="60" t="s">
        <v>110</v>
      </c>
      <c r="C892" s="61">
        <v>167033.85</v>
      </c>
      <c r="E892" s="62">
        <f>+G892/C892</f>
        <v>0.42803967579026642</v>
      </c>
      <c r="F892" s="62">
        <f>+H892/C892</f>
        <v>5.0911285347251464E-2</v>
      </c>
      <c r="G892" s="63">
        <f>SUM(G893:G906)</f>
        <v>71497.114999999991</v>
      </c>
      <c r="H892" s="63">
        <f>SUM(H893:H906)</f>
        <v>8503.9079999999994</v>
      </c>
      <c r="J892" s="96">
        <f t="shared" ref="J892" si="112">+F892-E892</f>
        <v>-0.37712839044301494</v>
      </c>
    </row>
    <row r="893" spans="2:10" hidden="1" outlineLevel="2" x14ac:dyDescent="0.25">
      <c r="B893" s="1" t="s">
        <v>111</v>
      </c>
      <c r="C893" s="44">
        <v>0</v>
      </c>
      <c r="E893" s="50">
        <v>1</v>
      </c>
      <c r="F893" s="50">
        <v>0.15</v>
      </c>
      <c r="G893" s="64">
        <f t="shared" ref="G893:G906" si="113">+E893*C893</f>
        <v>0</v>
      </c>
      <c r="H893" s="64">
        <f t="shared" ref="H893:H906" si="114">+F893*C893</f>
        <v>0</v>
      </c>
    </row>
    <row r="894" spans="2:10" hidden="1" outlineLevel="2" x14ac:dyDescent="0.25">
      <c r="B894" s="1" t="s">
        <v>112</v>
      </c>
      <c r="C894" s="44">
        <v>25106.13</v>
      </c>
      <c r="E894" s="50">
        <v>0.5</v>
      </c>
      <c r="F894" s="50">
        <v>0.15</v>
      </c>
      <c r="G894" s="64">
        <f t="shared" si="113"/>
        <v>12553.065000000001</v>
      </c>
      <c r="H894" s="64">
        <f t="shared" si="114"/>
        <v>3765.9195</v>
      </c>
    </row>
    <row r="895" spans="2:10" hidden="1" outlineLevel="2" x14ac:dyDescent="0.25">
      <c r="B895" s="1" t="s">
        <v>114</v>
      </c>
      <c r="C895" s="44">
        <v>19843.650000000001</v>
      </c>
      <c r="E895" s="50">
        <v>0.5</v>
      </c>
      <c r="F895" s="50">
        <v>0.15</v>
      </c>
      <c r="G895" s="64">
        <f t="shared" si="113"/>
        <v>9921.8250000000007</v>
      </c>
      <c r="H895" s="64">
        <f t="shared" si="114"/>
        <v>2976.5475000000001</v>
      </c>
    </row>
    <row r="896" spans="2:10" hidden="1" outlineLevel="2" x14ac:dyDescent="0.25">
      <c r="B896" s="1" t="s">
        <v>115</v>
      </c>
      <c r="C896" s="44">
        <v>2267.86</v>
      </c>
      <c r="E896" s="50">
        <v>0.5</v>
      </c>
      <c r="F896" s="50">
        <v>0.15</v>
      </c>
      <c r="G896" s="64">
        <f t="shared" si="113"/>
        <v>1133.93</v>
      </c>
      <c r="H896" s="64">
        <f t="shared" si="114"/>
        <v>340.17900000000003</v>
      </c>
    </row>
    <row r="897" spans="2:8" hidden="1" outlineLevel="2" x14ac:dyDescent="0.25">
      <c r="B897" s="1" t="s">
        <v>116</v>
      </c>
      <c r="C897" s="44">
        <v>3146.27</v>
      </c>
      <c r="E897" s="50">
        <v>0.5</v>
      </c>
      <c r="F897" s="50">
        <v>0.15</v>
      </c>
      <c r="G897" s="64">
        <f t="shared" si="113"/>
        <v>1573.135</v>
      </c>
      <c r="H897" s="64">
        <f t="shared" si="114"/>
        <v>471.94049999999999</v>
      </c>
    </row>
    <row r="898" spans="2:8" hidden="1" outlineLevel="2" x14ac:dyDescent="0.25">
      <c r="B898" s="1" t="s">
        <v>117</v>
      </c>
      <c r="C898" s="44">
        <v>6981.21</v>
      </c>
      <c r="E898" s="50">
        <v>0.5</v>
      </c>
      <c r="F898" s="50">
        <v>0</v>
      </c>
      <c r="G898" s="64">
        <f t="shared" si="113"/>
        <v>3490.605</v>
      </c>
      <c r="H898" s="64">
        <f t="shared" si="114"/>
        <v>0</v>
      </c>
    </row>
    <row r="899" spans="2:8" hidden="1" outlineLevel="2" x14ac:dyDescent="0.25">
      <c r="B899" s="1" t="s">
        <v>120</v>
      </c>
      <c r="C899" s="44">
        <v>21736.69</v>
      </c>
      <c r="E899" s="50">
        <v>0</v>
      </c>
      <c r="F899" s="50">
        <v>0</v>
      </c>
      <c r="G899" s="64">
        <f t="shared" si="113"/>
        <v>0</v>
      </c>
      <c r="H899" s="64">
        <f t="shared" si="114"/>
        <v>0</v>
      </c>
    </row>
    <row r="900" spans="2:8" hidden="1" outlineLevel="2" x14ac:dyDescent="0.25">
      <c r="B900" s="1" t="s">
        <v>121</v>
      </c>
      <c r="C900" s="44">
        <v>6832.58</v>
      </c>
      <c r="E900" s="50">
        <v>0</v>
      </c>
      <c r="F900" s="50">
        <v>0</v>
      </c>
      <c r="G900" s="64">
        <f t="shared" si="113"/>
        <v>0</v>
      </c>
      <c r="H900" s="64">
        <f t="shared" si="114"/>
        <v>0</v>
      </c>
    </row>
    <row r="901" spans="2:8" hidden="1" outlineLevel="2" x14ac:dyDescent="0.25">
      <c r="B901" s="1" t="s">
        <v>122</v>
      </c>
      <c r="C901" s="44">
        <v>7108.11</v>
      </c>
      <c r="E901" s="50">
        <v>1</v>
      </c>
      <c r="F901" s="50">
        <v>0</v>
      </c>
      <c r="G901" s="64">
        <f t="shared" si="113"/>
        <v>7108.11</v>
      </c>
      <c r="H901" s="64">
        <f t="shared" si="114"/>
        <v>0</v>
      </c>
    </row>
    <row r="902" spans="2:8" hidden="1" outlineLevel="2" x14ac:dyDescent="0.25">
      <c r="B902" s="1" t="s">
        <v>123</v>
      </c>
      <c r="C902" s="44">
        <v>18986.43</v>
      </c>
      <c r="E902" s="50">
        <v>0.5</v>
      </c>
      <c r="F902" s="50">
        <v>0.05</v>
      </c>
      <c r="G902" s="64">
        <f t="shared" si="113"/>
        <v>9493.2150000000001</v>
      </c>
      <c r="H902" s="64">
        <f t="shared" si="114"/>
        <v>949.32150000000001</v>
      </c>
    </row>
    <row r="903" spans="2:8" hidden="1" outlineLevel="2" x14ac:dyDescent="0.25">
      <c r="B903" s="1" t="s">
        <v>124</v>
      </c>
      <c r="C903" s="44">
        <v>52446.46</v>
      </c>
      <c r="E903" s="50">
        <v>0.5</v>
      </c>
      <c r="F903" s="50">
        <v>0</v>
      </c>
      <c r="G903" s="64">
        <f t="shared" si="113"/>
        <v>26223.23</v>
      </c>
      <c r="H903" s="64">
        <f t="shared" si="114"/>
        <v>0</v>
      </c>
    </row>
    <row r="904" spans="2:8" hidden="1" outlineLevel="2" x14ac:dyDescent="0.25">
      <c r="B904" s="1" t="s">
        <v>301</v>
      </c>
      <c r="C904" s="44">
        <v>1637.54</v>
      </c>
      <c r="E904" s="50">
        <v>0</v>
      </c>
      <c r="F904" s="50">
        <v>0</v>
      </c>
      <c r="G904" s="64">
        <f t="shared" si="113"/>
        <v>0</v>
      </c>
      <c r="H904" s="64">
        <f t="shared" si="114"/>
        <v>0</v>
      </c>
    </row>
    <row r="905" spans="2:8" hidden="1" outlineLevel="2" x14ac:dyDescent="0.25">
      <c r="B905" s="1" t="s">
        <v>90</v>
      </c>
      <c r="C905" s="44">
        <v>470.46</v>
      </c>
      <c r="E905" s="50">
        <v>0</v>
      </c>
      <c r="F905" s="50">
        <v>0</v>
      </c>
      <c r="G905" s="64">
        <f t="shared" si="113"/>
        <v>0</v>
      </c>
      <c r="H905" s="64">
        <f t="shared" si="114"/>
        <v>0</v>
      </c>
    </row>
    <row r="906" spans="2:8" hidden="1" outlineLevel="2" x14ac:dyDescent="0.25">
      <c r="B906" s="1" t="s">
        <v>91</v>
      </c>
      <c r="C906" s="44">
        <v>470.46</v>
      </c>
      <c r="E906" s="50">
        <v>0</v>
      </c>
      <c r="F906" s="50">
        <v>0</v>
      </c>
      <c r="G906" s="64">
        <f t="shared" si="113"/>
        <v>0</v>
      </c>
      <c r="H906" s="64">
        <f t="shared" si="114"/>
        <v>0</v>
      </c>
    </row>
    <row r="907" spans="2:8" outlineLevel="1" collapsed="1" x14ac:dyDescent="0.25">
      <c r="B907" s="60" t="s">
        <v>125</v>
      </c>
      <c r="C907" s="61">
        <v>26683.07</v>
      </c>
      <c r="E907" s="62"/>
      <c r="F907" s="62"/>
      <c r="G907" s="63"/>
      <c r="H907" s="63"/>
    </row>
    <row r="908" spans="2:8" hidden="1" outlineLevel="2" x14ac:dyDescent="0.25">
      <c r="B908" s="1" t="s">
        <v>126</v>
      </c>
      <c r="C908" s="44">
        <v>26683.07</v>
      </c>
      <c r="E908" s="50">
        <v>0</v>
      </c>
      <c r="F908" s="50">
        <v>0</v>
      </c>
      <c r="G908" s="64">
        <f>+E908*C908</f>
        <v>0</v>
      </c>
      <c r="H908" s="64">
        <f>+F908*C908</f>
        <v>0</v>
      </c>
    </row>
    <row r="909" spans="2:8" outlineLevel="1" collapsed="1" x14ac:dyDescent="0.25">
      <c r="B909" s="60" t="s">
        <v>127</v>
      </c>
      <c r="C909" s="61">
        <v>203007.14</v>
      </c>
      <c r="E909" s="62"/>
      <c r="F909" s="62"/>
      <c r="G909" s="63"/>
      <c r="H909" s="63"/>
    </row>
    <row r="910" spans="2:8" hidden="1" outlineLevel="2" x14ac:dyDescent="0.25">
      <c r="B910" s="1" t="s">
        <v>302</v>
      </c>
      <c r="C910" s="44">
        <v>12050.32</v>
      </c>
      <c r="E910" s="50">
        <v>0</v>
      </c>
      <c r="F910" s="50">
        <v>0</v>
      </c>
      <c r="G910" s="64">
        <f t="shared" ref="G910:G934" si="115">+E910*C910</f>
        <v>0</v>
      </c>
      <c r="H910" s="64">
        <f t="shared" ref="H910:H934" si="116">+F910*C910</f>
        <v>0</v>
      </c>
    </row>
    <row r="911" spans="2:8" hidden="1" outlineLevel="2" x14ac:dyDescent="0.25">
      <c r="B911" s="1" t="s">
        <v>303</v>
      </c>
      <c r="C911" s="44">
        <v>7601.03</v>
      </c>
      <c r="E911" s="50">
        <v>0</v>
      </c>
      <c r="F911" s="50">
        <v>0</v>
      </c>
      <c r="G911" s="64">
        <f t="shared" si="115"/>
        <v>0</v>
      </c>
      <c r="H911" s="64">
        <f t="shared" si="116"/>
        <v>0</v>
      </c>
    </row>
    <row r="912" spans="2:8" hidden="1" outlineLevel="2" x14ac:dyDescent="0.25">
      <c r="B912" s="1" t="s">
        <v>138</v>
      </c>
      <c r="C912" s="44">
        <v>975.71</v>
      </c>
      <c r="E912" s="50">
        <v>0</v>
      </c>
      <c r="F912" s="50">
        <v>0</v>
      </c>
      <c r="G912" s="64">
        <f t="shared" si="115"/>
        <v>0</v>
      </c>
      <c r="H912" s="64">
        <f t="shared" si="116"/>
        <v>0</v>
      </c>
    </row>
    <row r="913" spans="2:8" hidden="1" outlineLevel="2" x14ac:dyDescent="0.25">
      <c r="B913" s="1" t="s">
        <v>304</v>
      </c>
      <c r="C913" s="44">
        <v>1982.23</v>
      </c>
      <c r="E913" s="50">
        <v>0</v>
      </c>
      <c r="F913" s="50">
        <v>0</v>
      </c>
      <c r="G913" s="64">
        <f t="shared" si="115"/>
        <v>0</v>
      </c>
      <c r="H913" s="64">
        <f t="shared" si="116"/>
        <v>0</v>
      </c>
    </row>
    <row r="914" spans="2:8" hidden="1" outlineLevel="2" x14ac:dyDescent="0.25">
      <c r="B914" s="1" t="s">
        <v>136</v>
      </c>
      <c r="C914" s="44">
        <v>1165.56</v>
      </c>
      <c r="E914" s="50">
        <v>0</v>
      </c>
      <c r="F914" s="50">
        <v>0</v>
      </c>
      <c r="G914" s="64">
        <f t="shared" si="115"/>
        <v>0</v>
      </c>
      <c r="H914" s="64">
        <f t="shared" si="116"/>
        <v>0</v>
      </c>
    </row>
    <row r="915" spans="2:8" hidden="1" outlineLevel="2" x14ac:dyDescent="0.25">
      <c r="B915" s="1" t="s">
        <v>137</v>
      </c>
      <c r="C915" s="44">
        <v>11155.31</v>
      </c>
      <c r="E915" s="50">
        <v>0</v>
      </c>
      <c r="F915" s="50">
        <v>0</v>
      </c>
      <c r="G915" s="64">
        <f t="shared" si="115"/>
        <v>0</v>
      </c>
      <c r="H915" s="64">
        <f t="shared" si="116"/>
        <v>0</v>
      </c>
    </row>
    <row r="916" spans="2:8" hidden="1" outlineLevel="2" x14ac:dyDescent="0.25">
      <c r="B916" s="1" t="s">
        <v>305</v>
      </c>
      <c r="C916" s="44">
        <v>8306.69</v>
      </c>
      <c r="E916" s="50">
        <v>0</v>
      </c>
      <c r="F916" s="50">
        <v>0</v>
      </c>
      <c r="G916" s="64">
        <f t="shared" si="115"/>
        <v>0</v>
      </c>
      <c r="H916" s="64">
        <f t="shared" si="116"/>
        <v>0</v>
      </c>
    </row>
    <row r="917" spans="2:8" hidden="1" outlineLevel="2" x14ac:dyDescent="0.25">
      <c r="B917" s="1" t="s">
        <v>306</v>
      </c>
      <c r="C917" s="44">
        <v>1060.23</v>
      </c>
      <c r="E917" s="50">
        <v>0</v>
      </c>
      <c r="F917" s="50">
        <v>0</v>
      </c>
      <c r="G917" s="64">
        <f t="shared" si="115"/>
        <v>0</v>
      </c>
      <c r="H917" s="64">
        <f t="shared" si="116"/>
        <v>0</v>
      </c>
    </row>
    <row r="918" spans="2:8" hidden="1" outlineLevel="2" x14ac:dyDescent="0.25">
      <c r="B918" s="1" t="s">
        <v>307</v>
      </c>
      <c r="C918" s="44">
        <v>22015.54</v>
      </c>
      <c r="E918" s="50">
        <v>0</v>
      </c>
      <c r="F918" s="50">
        <v>0</v>
      </c>
      <c r="G918" s="64">
        <f t="shared" si="115"/>
        <v>0</v>
      </c>
      <c r="H918" s="64">
        <f t="shared" si="116"/>
        <v>0</v>
      </c>
    </row>
    <row r="919" spans="2:8" hidden="1" outlineLevel="2" x14ac:dyDescent="0.25">
      <c r="B919" s="1" t="s">
        <v>308</v>
      </c>
      <c r="C919" s="44">
        <v>2269.54</v>
      </c>
      <c r="E919" s="50">
        <v>0</v>
      </c>
      <c r="F919" s="50">
        <v>0</v>
      </c>
      <c r="G919" s="64">
        <f t="shared" si="115"/>
        <v>0</v>
      </c>
      <c r="H919" s="64">
        <f t="shared" si="116"/>
        <v>0</v>
      </c>
    </row>
    <row r="920" spans="2:8" hidden="1" outlineLevel="2" x14ac:dyDescent="0.25">
      <c r="B920" s="1" t="s">
        <v>309</v>
      </c>
      <c r="C920" s="44">
        <v>1319.5</v>
      </c>
      <c r="E920" s="50">
        <v>0</v>
      </c>
      <c r="F920" s="50">
        <v>0</v>
      </c>
      <c r="G920" s="64">
        <f t="shared" si="115"/>
        <v>0</v>
      </c>
      <c r="H920" s="64">
        <f t="shared" si="116"/>
        <v>0</v>
      </c>
    </row>
    <row r="921" spans="2:8" hidden="1" outlineLevel="2" x14ac:dyDescent="0.25">
      <c r="B921" s="1" t="s">
        <v>139</v>
      </c>
      <c r="C921" s="44">
        <v>3628.43</v>
      </c>
      <c r="E921" s="50">
        <v>0</v>
      </c>
      <c r="F921" s="50">
        <v>0</v>
      </c>
      <c r="G921" s="64">
        <f t="shared" si="115"/>
        <v>0</v>
      </c>
      <c r="H921" s="64">
        <f t="shared" si="116"/>
        <v>0</v>
      </c>
    </row>
    <row r="922" spans="2:8" hidden="1" outlineLevel="2" x14ac:dyDescent="0.25">
      <c r="B922" s="1" t="s">
        <v>310</v>
      </c>
      <c r="C922" s="44">
        <v>1314.66</v>
      </c>
      <c r="E922" s="50">
        <v>0</v>
      </c>
      <c r="F922" s="50">
        <v>0</v>
      </c>
      <c r="G922" s="64">
        <f t="shared" si="115"/>
        <v>0</v>
      </c>
      <c r="H922" s="64">
        <f t="shared" si="116"/>
        <v>0</v>
      </c>
    </row>
    <row r="923" spans="2:8" hidden="1" outlineLevel="2" x14ac:dyDescent="0.25">
      <c r="B923" s="1" t="s">
        <v>311</v>
      </c>
      <c r="C923" s="44">
        <v>20441.740000000002</v>
      </c>
      <c r="E923" s="50">
        <v>0</v>
      </c>
      <c r="F923" s="50">
        <v>0</v>
      </c>
      <c r="G923" s="64">
        <f t="shared" si="115"/>
        <v>0</v>
      </c>
      <c r="H923" s="64">
        <f t="shared" si="116"/>
        <v>0</v>
      </c>
    </row>
    <row r="924" spans="2:8" hidden="1" outlineLevel="2" x14ac:dyDescent="0.25">
      <c r="B924" s="1" t="s">
        <v>141</v>
      </c>
      <c r="C924" s="44">
        <v>57407.360000000001</v>
      </c>
      <c r="E924" s="50">
        <v>0</v>
      </c>
      <c r="F924" s="50">
        <v>0</v>
      </c>
      <c r="G924" s="64">
        <f t="shared" si="115"/>
        <v>0</v>
      </c>
      <c r="H924" s="64">
        <f t="shared" si="116"/>
        <v>0</v>
      </c>
    </row>
    <row r="925" spans="2:8" hidden="1" outlineLevel="2" x14ac:dyDescent="0.25">
      <c r="B925" s="1" t="s">
        <v>105</v>
      </c>
      <c r="C925" s="44">
        <v>2378.69</v>
      </c>
      <c r="E925" s="50">
        <v>0</v>
      </c>
      <c r="F925" s="50">
        <v>0</v>
      </c>
      <c r="G925" s="64">
        <f t="shared" si="115"/>
        <v>0</v>
      </c>
      <c r="H925" s="64">
        <f t="shared" si="116"/>
        <v>0</v>
      </c>
    </row>
    <row r="926" spans="2:8" hidden="1" outlineLevel="2" x14ac:dyDescent="0.25">
      <c r="B926" s="1" t="s">
        <v>140</v>
      </c>
      <c r="C926" s="44">
        <v>33366.230000000003</v>
      </c>
      <c r="E926" s="50">
        <v>0</v>
      </c>
      <c r="F926" s="50">
        <v>0</v>
      </c>
      <c r="G926" s="64">
        <f t="shared" si="115"/>
        <v>0</v>
      </c>
      <c r="H926" s="64">
        <f t="shared" si="116"/>
        <v>0</v>
      </c>
    </row>
    <row r="927" spans="2:8" hidden="1" outlineLevel="2" x14ac:dyDescent="0.25">
      <c r="B927" s="1" t="s">
        <v>142</v>
      </c>
      <c r="C927" s="44">
        <v>4977.22</v>
      </c>
      <c r="E927" s="50">
        <v>0</v>
      </c>
      <c r="F927" s="50">
        <v>0</v>
      </c>
      <c r="G927" s="64">
        <f t="shared" si="115"/>
        <v>0</v>
      </c>
      <c r="H927" s="64">
        <f t="shared" si="116"/>
        <v>0</v>
      </c>
    </row>
    <row r="928" spans="2:8" hidden="1" outlineLevel="2" x14ac:dyDescent="0.25">
      <c r="B928" s="1" t="s">
        <v>143</v>
      </c>
      <c r="C928" s="44">
        <v>5312.02</v>
      </c>
      <c r="E928" s="50">
        <v>0</v>
      </c>
      <c r="F928" s="50">
        <v>0</v>
      </c>
      <c r="G928" s="64">
        <f t="shared" si="115"/>
        <v>0</v>
      </c>
      <c r="H928" s="64">
        <f t="shared" si="116"/>
        <v>0</v>
      </c>
    </row>
    <row r="929" spans="2:8" hidden="1" outlineLevel="2" x14ac:dyDescent="0.25">
      <c r="B929" s="1" t="s">
        <v>312</v>
      </c>
      <c r="C929" s="44">
        <v>717.18</v>
      </c>
      <c r="E929" s="50">
        <v>0</v>
      </c>
      <c r="F929" s="50">
        <v>0</v>
      </c>
      <c r="G929" s="64">
        <f t="shared" si="115"/>
        <v>0</v>
      </c>
      <c r="H929" s="64">
        <f t="shared" si="116"/>
        <v>0</v>
      </c>
    </row>
    <row r="930" spans="2:8" hidden="1" outlineLevel="2" x14ac:dyDescent="0.25">
      <c r="B930" s="1" t="s">
        <v>313</v>
      </c>
      <c r="C930" s="44">
        <v>1532.33</v>
      </c>
      <c r="E930" s="50">
        <v>0</v>
      </c>
      <c r="F930" s="50">
        <v>0</v>
      </c>
      <c r="G930" s="64">
        <f t="shared" si="115"/>
        <v>0</v>
      </c>
      <c r="H930" s="64">
        <f t="shared" si="116"/>
        <v>0</v>
      </c>
    </row>
    <row r="931" spans="2:8" hidden="1" outlineLevel="2" x14ac:dyDescent="0.25">
      <c r="B931" s="1" t="s">
        <v>95</v>
      </c>
      <c r="C931" s="44">
        <v>574.99</v>
      </c>
      <c r="E931" s="50">
        <v>0</v>
      </c>
      <c r="F931" s="50">
        <v>0</v>
      </c>
      <c r="G931" s="64">
        <f t="shared" si="115"/>
        <v>0</v>
      </c>
      <c r="H931" s="64">
        <f t="shared" si="116"/>
        <v>0</v>
      </c>
    </row>
    <row r="932" spans="2:8" hidden="1" outlineLevel="2" x14ac:dyDescent="0.25">
      <c r="B932" s="1" t="s">
        <v>314</v>
      </c>
      <c r="C932" s="44">
        <v>402.9</v>
      </c>
      <c r="E932" s="50">
        <v>0</v>
      </c>
      <c r="F932" s="50">
        <v>0</v>
      </c>
      <c r="G932" s="64">
        <f t="shared" si="115"/>
        <v>0</v>
      </c>
      <c r="H932" s="64">
        <f t="shared" si="116"/>
        <v>0</v>
      </c>
    </row>
    <row r="933" spans="2:8" hidden="1" outlineLevel="2" x14ac:dyDescent="0.25">
      <c r="B933" s="1" t="s">
        <v>315</v>
      </c>
      <c r="C933" s="44">
        <v>476.74</v>
      </c>
      <c r="E933" s="50">
        <v>0</v>
      </c>
      <c r="F933" s="50">
        <v>0</v>
      </c>
      <c r="G933" s="64">
        <f t="shared" si="115"/>
        <v>0</v>
      </c>
      <c r="H933" s="64">
        <f t="shared" si="116"/>
        <v>0</v>
      </c>
    </row>
    <row r="934" spans="2:8" hidden="1" outlineLevel="2" x14ac:dyDescent="0.25">
      <c r="B934" s="1" t="s">
        <v>98</v>
      </c>
      <c r="C934" s="44">
        <v>574.99</v>
      </c>
      <c r="E934" s="50">
        <v>0</v>
      </c>
      <c r="F934" s="50">
        <v>0</v>
      </c>
      <c r="G934" s="64">
        <f t="shared" si="115"/>
        <v>0</v>
      </c>
      <c r="H934" s="64">
        <f t="shared" si="116"/>
        <v>0</v>
      </c>
    </row>
    <row r="935" spans="2:8" outlineLevel="1" collapsed="1" x14ac:dyDescent="0.25">
      <c r="B935" s="60" t="s">
        <v>148</v>
      </c>
      <c r="C935" s="61">
        <v>226919.92</v>
      </c>
      <c r="E935" s="62"/>
      <c r="F935" s="62"/>
      <c r="G935" s="63"/>
      <c r="H935" s="63"/>
    </row>
    <row r="936" spans="2:8" hidden="1" outlineLevel="2" x14ac:dyDescent="0.25">
      <c r="B936" s="1" t="s">
        <v>149</v>
      </c>
      <c r="C936" s="44">
        <v>0</v>
      </c>
      <c r="E936" s="50">
        <v>0</v>
      </c>
      <c r="F936" s="50">
        <v>0</v>
      </c>
      <c r="G936" s="64">
        <f t="shared" ref="G936:G948" si="117">+E936*C936</f>
        <v>0</v>
      </c>
      <c r="H936" s="64">
        <f t="shared" ref="H936:H948" si="118">+F936*C936</f>
        <v>0</v>
      </c>
    </row>
    <row r="937" spans="2:8" hidden="1" outlineLevel="2" x14ac:dyDescent="0.25">
      <c r="B937" s="1" t="s">
        <v>112</v>
      </c>
      <c r="C937" s="44">
        <v>28730.91</v>
      </c>
      <c r="E937" s="50">
        <v>0</v>
      </c>
      <c r="F937" s="50">
        <v>0</v>
      </c>
      <c r="G937" s="64">
        <f t="shared" si="117"/>
        <v>0</v>
      </c>
      <c r="H937" s="64">
        <f t="shared" si="118"/>
        <v>0</v>
      </c>
    </row>
    <row r="938" spans="2:8" hidden="1" outlineLevel="2" x14ac:dyDescent="0.25">
      <c r="B938" s="1" t="s">
        <v>113</v>
      </c>
      <c r="C938" s="44">
        <v>13836.35</v>
      </c>
      <c r="E938" s="50">
        <v>0</v>
      </c>
      <c r="F938" s="50">
        <v>0</v>
      </c>
      <c r="G938" s="64">
        <f t="shared" si="117"/>
        <v>0</v>
      </c>
      <c r="H938" s="64">
        <f t="shared" si="118"/>
        <v>0</v>
      </c>
    </row>
    <row r="939" spans="2:8" hidden="1" outlineLevel="2" x14ac:dyDescent="0.25">
      <c r="B939" s="1" t="s">
        <v>115</v>
      </c>
      <c r="C939" s="44">
        <v>4849.9399999999996</v>
      </c>
      <c r="E939" s="50">
        <v>0</v>
      </c>
      <c r="F939" s="50">
        <v>0</v>
      </c>
      <c r="G939" s="64">
        <f t="shared" si="117"/>
        <v>0</v>
      </c>
      <c r="H939" s="64">
        <f t="shared" si="118"/>
        <v>0</v>
      </c>
    </row>
    <row r="940" spans="2:8" hidden="1" outlineLevel="2" x14ac:dyDescent="0.25">
      <c r="B940" s="1" t="s">
        <v>116</v>
      </c>
      <c r="C940" s="44">
        <v>7235.14</v>
      </c>
      <c r="E940" s="50">
        <v>0</v>
      </c>
      <c r="F940" s="50">
        <v>0</v>
      </c>
      <c r="G940" s="64">
        <f t="shared" si="117"/>
        <v>0</v>
      </c>
      <c r="H940" s="64">
        <f t="shared" si="118"/>
        <v>0</v>
      </c>
    </row>
    <row r="941" spans="2:8" hidden="1" outlineLevel="2" x14ac:dyDescent="0.25">
      <c r="B941" s="1" t="s">
        <v>316</v>
      </c>
      <c r="C941" s="44">
        <v>3264.93</v>
      </c>
      <c r="E941" s="50">
        <v>0</v>
      </c>
      <c r="F941" s="50">
        <v>0</v>
      </c>
      <c r="G941" s="64">
        <f t="shared" si="117"/>
        <v>0</v>
      </c>
      <c r="H941" s="64">
        <f t="shared" si="118"/>
        <v>0</v>
      </c>
    </row>
    <row r="942" spans="2:8" hidden="1" outlineLevel="2" x14ac:dyDescent="0.25">
      <c r="B942" s="1" t="s">
        <v>317</v>
      </c>
      <c r="C942" s="44">
        <v>14238.46</v>
      </c>
      <c r="E942" s="50">
        <v>0</v>
      </c>
      <c r="F942" s="50">
        <v>0</v>
      </c>
      <c r="G942" s="64">
        <f t="shared" si="117"/>
        <v>0</v>
      </c>
      <c r="H942" s="64">
        <f t="shared" si="118"/>
        <v>0</v>
      </c>
    </row>
    <row r="943" spans="2:8" hidden="1" outlineLevel="2" x14ac:dyDescent="0.25">
      <c r="B943" s="1" t="s">
        <v>120</v>
      </c>
      <c r="C943" s="44">
        <v>25086.720000000001</v>
      </c>
      <c r="E943" s="50">
        <v>0</v>
      </c>
      <c r="F943" s="50">
        <v>0</v>
      </c>
      <c r="G943" s="64">
        <f t="shared" si="117"/>
        <v>0</v>
      </c>
      <c r="H943" s="64">
        <f t="shared" si="118"/>
        <v>0</v>
      </c>
    </row>
    <row r="944" spans="2:8" hidden="1" outlineLevel="2" x14ac:dyDescent="0.25">
      <c r="B944" s="1" t="s">
        <v>121</v>
      </c>
      <c r="C944" s="44">
        <v>18304.060000000001</v>
      </c>
      <c r="E944" s="50">
        <v>0</v>
      </c>
      <c r="F944" s="50">
        <v>0</v>
      </c>
      <c r="G944" s="64">
        <f t="shared" si="117"/>
        <v>0</v>
      </c>
      <c r="H944" s="64">
        <f t="shared" si="118"/>
        <v>0</v>
      </c>
    </row>
    <row r="945" spans="2:8" hidden="1" outlineLevel="2" x14ac:dyDescent="0.25">
      <c r="B945" s="1" t="s">
        <v>122</v>
      </c>
      <c r="C945" s="44">
        <v>20409.62</v>
      </c>
      <c r="E945" s="50">
        <v>0</v>
      </c>
      <c r="F945" s="50">
        <v>0</v>
      </c>
      <c r="G945" s="64">
        <f t="shared" si="117"/>
        <v>0</v>
      </c>
      <c r="H945" s="64">
        <f t="shared" si="118"/>
        <v>0</v>
      </c>
    </row>
    <row r="946" spans="2:8" hidden="1" outlineLevel="2" x14ac:dyDescent="0.25">
      <c r="B946" s="1" t="s">
        <v>123</v>
      </c>
      <c r="C946" s="44">
        <v>38435.51</v>
      </c>
      <c r="E946" s="50">
        <v>0</v>
      </c>
      <c r="F946" s="50">
        <v>0</v>
      </c>
      <c r="G946" s="64">
        <f t="shared" si="117"/>
        <v>0</v>
      </c>
      <c r="H946" s="64">
        <f t="shared" si="118"/>
        <v>0</v>
      </c>
    </row>
    <row r="947" spans="2:8" hidden="1" outlineLevel="2" x14ac:dyDescent="0.25">
      <c r="B947" s="1" t="s">
        <v>150</v>
      </c>
      <c r="C947" s="44">
        <v>51569.72</v>
      </c>
      <c r="E947" s="50">
        <v>0</v>
      </c>
      <c r="F947" s="50">
        <v>0</v>
      </c>
      <c r="G947" s="64">
        <f t="shared" si="117"/>
        <v>0</v>
      </c>
      <c r="H947" s="64">
        <f t="shared" si="118"/>
        <v>0</v>
      </c>
    </row>
    <row r="948" spans="2:8" hidden="1" outlineLevel="2" x14ac:dyDescent="0.25">
      <c r="B948" s="1" t="s">
        <v>318</v>
      </c>
      <c r="C948" s="44">
        <v>958.56</v>
      </c>
      <c r="E948" s="50">
        <v>0</v>
      </c>
      <c r="F948" s="50">
        <v>0</v>
      </c>
      <c r="G948" s="64">
        <f t="shared" si="117"/>
        <v>0</v>
      </c>
      <c r="H948" s="64">
        <f t="shared" si="118"/>
        <v>0</v>
      </c>
    </row>
    <row r="949" spans="2:8" outlineLevel="1" collapsed="1" x14ac:dyDescent="0.25">
      <c r="B949" s="60" t="s">
        <v>151</v>
      </c>
      <c r="C949" s="61">
        <v>126484.85</v>
      </c>
      <c r="E949" s="62"/>
      <c r="F949" s="62"/>
      <c r="G949" s="63"/>
      <c r="H949" s="63"/>
    </row>
    <row r="950" spans="2:8" hidden="1" outlineLevel="2" x14ac:dyDescent="0.25">
      <c r="B950" s="1" t="s">
        <v>152</v>
      </c>
      <c r="C950" s="44">
        <v>7848.02</v>
      </c>
      <c r="E950" s="50">
        <v>0</v>
      </c>
      <c r="F950" s="50">
        <v>0</v>
      </c>
      <c r="G950" s="64">
        <f t="shared" ref="G950:G967" si="119">+E950*C950</f>
        <v>0</v>
      </c>
      <c r="H950" s="64">
        <f t="shared" ref="H950:H967" si="120">+F950*C950</f>
        <v>0</v>
      </c>
    </row>
    <row r="951" spans="2:8" hidden="1" outlineLevel="2" x14ac:dyDescent="0.25">
      <c r="B951" s="1" t="s">
        <v>319</v>
      </c>
      <c r="C951" s="44">
        <v>9347.3799999999992</v>
      </c>
      <c r="E951" s="50">
        <v>0</v>
      </c>
      <c r="F951" s="50">
        <v>0</v>
      </c>
      <c r="G951" s="64">
        <f t="shared" si="119"/>
        <v>0</v>
      </c>
      <c r="H951" s="64">
        <f t="shared" si="120"/>
        <v>0</v>
      </c>
    </row>
    <row r="952" spans="2:8" hidden="1" outlineLevel="2" x14ac:dyDescent="0.25">
      <c r="B952" s="1" t="s">
        <v>320</v>
      </c>
      <c r="C952" s="44">
        <v>2564.4</v>
      </c>
      <c r="E952" s="50">
        <v>0</v>
      </c>
      <c r="F952" s="50">
        <v>0</v>
      </c>
      <c r="G952" s="64">
        <f t="shared" si="119"/>
        <v>0</v>
      </c>
      <c r="H952" s="64">
        <f t="shared" si="120"/>
        <v>0</v>
      </c>
    </row>
    <row r="953" spans="2:8" hidden="1" outlineLevel="2" x14ac:dyDescent="0.25">
      <c r="B953" s="1" t="s">
        <v>321</v>
      </c>
      <c r="C953" s="44">
        <v>1710.04</v>
      </c>
      <c r="E953" s="50">
        <v>0</v>
      </c>
      <c r="F953" s="50">
        <v>0</v>
      </c>
      <c r="G953" s="64">
        <f t="shared" si="119"/>
        <v>0</v>
      </c>
      <c r="H953" s="64">
        <f t="shared" si="120"/>
        <v>0</v>
      </c>
    </row>
    <row r="954" spans="2:8" hidden="1" outlineLevel="2" x14ac:dyDescent="0.25">
      <c r="B954" s="1" t="s">
        <v>322</v>
      </c>
      <c r="C954" s="44">
        <v>872.84</v>
      </c>
      <c r="E954" s="50">
        <v>0</v>
      </c>
      <c r="F954" s="50">
        <v>0</v>
      </c>
      <c r="G954" s="64">
        <f t="shared" si="119"/>
        <v>0</v>
      </c>
      <c r="H954" s="64">
        <f t="shared" si="120"/>
        <v>0</v>
      </c>
    </row>
    <row r="955" spans="2:8" hidden="1" outlineLevel="2" x14ac:dyDescent="0.25">
      <c r="B955" s="1" t="s">
        <v>323</v>
      </c>
      <c r="C955" s="44">
        <v>463.16</v>
      </c>
      <c r="E955" s="50">
        <v>0</v>
      </c>
      <c r="F955" s="50">
        <v>0</v>
      </c>
      <c r="G955" s="64">
        <f t="shared" si="119"/>
        <v>0</v>
      </c>
      <c r="H955" s="64">
        <f t="shared" si="120"/>
        <v>0</v>
      </c>
    </row>
    <row r="956" spans="2:8" hidden="1" outlineLevel="2" x14ac:dyDescent="0.25">
      <c r="B956" s="1" t="s">
        <v>324</v>
      </c>
      <c r="C956" s="44">
        <v>1923.92</v>
      </c>
      <c r="E956" s="50">
        <v>0</v>
      </c>
      <c r="F956" s="50">
        <v>0</v>
      </c>
      <c r="G956" s="64">
        <f t="shared" si="119"/>
        <v>0</v>
      </c>
      <c r="H956" s="64">
        <f t="shared" si="120"/>
        <v>0</v>
      </c>
    </row>
    <row r="957" spans="2:8" hidden="1" outlineLevel="2" x14ac:dyDescent="0.25">
      <c r="B957" s="1" t="s">
        <v>325</v>
      </c>
      <c r="C957" s="44">
        <v>1683.57</v>
      </c>
      <c r="E957" s="50">
        <v>0</v>
      </c>
      <c r="F957" s="50">
        <v>0</v>
      </c>
      <c r="G957" s="64">
        <f t="shared" si="119"/>
        <v>0</v>
      </c>
      <c r="H957" s="64">
        <f t="shared" si="120"/>
        <v>0</v>
      </c>
    </row>
    <row r="958" spans="2:8" hidden="1" outlineLevel="2" x14ac:dyDescent="0.25">
      <c r="B958" s="1" t="s">
        <v>155</v>
      </c>
      <c r="C958" s="44">
        <v>3634.5</v>
      </c>
      <c r="E958" s="50">
        <v>0</v>
      </c>
      <c r="F958" s="50">
        <v>0</v>
      </c>
      <c r="G958" s="64">
        <f t="shared" si="119"/>
        <v>0</v>
      </c>
      <c r="H958" s="64">
        <f t="shared" si="120"/>
        <v>0</v>
      </c>
    </row>
    <row r="959" spans="2:8" hidden="1" outlineLevel="2" x14ac:dyDescent="0.25">
      <c r="B959" s="1" t="s">
        <v>326</v>
      </c>
      <c r="C959" s="44">
        <v>4115.76</v>
      </c>
      <c r="E959" s="50">
        <v>0</v>
      </c>
      <c r="F959" s="50">
        <v>0</v>
      </c>
      <c r="G959" s="64">
        <f t="shared" si="119"/>
        <v>0</v>
      </c>
      <c r="H959" s="64">
        <f t="shared" si="120"/>
        <v>0</v>
      </c>
    </row>
    <row r="960" spans="2:8" hidden="1" outlineLevel="2" x14ac:dyDescent="0.25">
      <c r="B960" s="1" t="s">
        <v>327</v>
      </c>
      <c r="C960" s="44">
        <v>6948.8</v>
      </c>
      <c r="E960" s="50">
        <v>0</v>
      </c>
      <c r="F960" s="50">
        <v>0</v>
      </c>
      <c r="G960" s="64">
        <f t="shared" si="119"/>
        <v>0</v>
      </c>
      <c r="H960" s="64">
        <f t="shared" si="120"/>
        <v>0</v>
      </c>
    </row>
    <row r="961" spans="2:8" hidden="1" outlineLevel="2" x14ac:dyDescent="0.25">
      <c r="B961" s="1" t="s">
        <v>328</v>
      </c>
      <c r="C961" s="44">
        <v>7983.2</v>
      </c>
      <c r="E961" s="50">
        <v>0</v>
      </c>
      <c r="F961" s="50">
        <v>0</v>
      </c>
      <c r="G961" s="64">
        <f t="shared" si="119"/>
        <v>0</v>
      </c>
      <c r="H961" s="64">
        <f t="shared" si="120"/>
        <v>0</v>
      </c>
    </row>
    <row r="962" spans="2:8" hidden="1" outlineLevel="2" x14ac:dyDescent="0.25">
      <c r="B962" s="1" t="s">
        <v>160</v>
      </c>
      <c r="C962" s="44">
        <v>17107.439999999999</v>
      </c>
      <c r="E962" s="50">
        <v>0</v>
      </c>
      <c r="F962" s="50">
        <v>0</v>
      </c>
      <c r="G962" s="64">
        <f t="shared" si="119"/>
        <v>0</v>
      </c>
      <c r="H962" s="64">
        <f t="shared" si="120"/>
        <v>0</v>
      </c>
    </row>
    <row r="963" spans="2:8" hidden="1" outlineLevel="2" x14ac:dyDescent="0.25">
      <c r="B963" s="1" t="s">
        <v>139</v>
      </c>
      <c r="C963" s="44">
        <v>3974.1</v>
      </c>
      <c r="E963" s="50">
        <v>0</v>
      </c>
      <c r="F963" s="50">
        <v>0</v>
      </c>
      <c r="G963" s="64">
        <f t="shared" si="119"/>
        <v>0</v>
      </c>
      <c r="H963" s="64">
        <f t="shared" si="120"/>
        <v>0</v>
      </c>
    </row>
    <row r="964" spans="2:8" hidden="1" outlineLevel="2" x14ac:dyDescent="0.25">
      <c r="B964" s="1" t="s">
        <v>161</v>
      </c>
      <c r="C964" s="44">
        <v>27590.82</v>
      </c>
      <c r="E964" s="50">
        <v>0</v>
      </c>
      <c r="F964" s="50">
        <v>0</v>
      </c>
      <c r="G964" s="64">
        <f t="shared" si="119"/>
        <v>0</v>
      </c>
      <c r="H964" s="64">
        <f t="shared" si="120"/>
        <v>0</v>
      </c>
    </row>
    <row r="965" spans="2:8" hidden="1" outlineLevel="2" x14ac:dyDescent="0.25">
      <c r="B965" s="1" t="s">
        <v>105</v>
      </c>
      <c r="C965" s="44">
        <v>2488.67</v>
      </c>
      <c r="E965" s="50">
        <v>0</v>
      </c>
      <c r="F965" s="50">
        <v>0</v>
      </c>
      <c r="G965" s="64">
        <f t="shared" si="119"/>
        <v>0</v>
      </c>
      <c r="H965" s="64">
        <f t="shared" si="120"/>
        <v>0</v>
      </c>
    </row>
    <row r="966" spans="2:8" hidden="1" outlineLevel="2" x14ac:dyDescent="0.25">
      <c r="B966" s="1" t="s">
        <v>140</v>
      </c>
      <c r="C966" s="44">
        <v>24031.53</v>
      </c>
      <c r="E966" s="50">
        <v>0</v>
      </c>
      <c r="F966" s="50">
        <v>0</v>
      </c>
      <c r="G966" s="64">
        <f t="shared" si="119"/>
        <v>0</v>
      </c>
      <c r="H966" s="64">
        <f t="shared" si="120"/>
        <v>0</v>
      </c>
    </row>
    <row r="967" spans="2:8" hidden="1" outlineLevel="2" x14ac:dyDescent="0.25">
      <c r="B967" s="1" t="s">
        <v>162</v>
      </c>
      <c r="C967" s="44">
        <v>2196.6999999999998</v>
      </c>
      <c r="E967" s="50">
        <v>0</v>
      </c>
      <c r="F967" s="50">
        <v>0</v>
      </c>
      <c r="G967" s="64">
        <f t="shared" si="119"/>
        <v>0</v>
      </c>
      <c r="H967" s="64">
        <f t="shared" si="120"/>
        <v>0</v>
      </c>
    </row>
    <row r="968" spans="2:8" outlineLevel="1" collapsed="1" x14ac:dyDescent="0.25">
      <c r="B968" s="60" t="s">
        <v>163</v>
      </c>
      <c r="C968" s="61">
        <v>90820.99</v>
      </c>
      <c r="E968" s="62"/>
      <c r="F968" s="62"/>
      <c r="G968" s="63"/>
      <c r="H968" s="63"/>
    </row>
    <row r="969" spans="2:8" hidden="1" outlineLevel="2" x14ac:dyDescent="0.25">
      <c r="B969" s="1" t="s">
        <v>112</v>
      </c>
      <c r="C969" s="44">
        <v>4464.6000000000004</v>
      </c>
      <c r="E969" s="50">
        <v>0</v>
      </c>
      <c r="F969" s="50">
        <v>0</v>
      </c>
      <c r="G969" s="64">
        <f t="shared" ref="G969:G976" si="121">+E969*C969</f>
        <v>0</v>
      </c>
      <c r="H969" s="64">
        <f t="shared" ref="H969:H976" si="122">+F969*C969</f>
        <v>0</v>
      </c>
    </row>
    <row r="970" spans="2:8" hidden="1" outlineLevel="2" x14ac:dyDescent="0.25">
      <c r="B970" s="1" t="s">
        <v>164</v>
      </c>
      <c r="C970" s="44">
        <v>14239.78</v>
      </c>
      <c r="E970" s="50">
        <v>0</v>
      </c>
      <c r="F970" s="50">
        <v>0</v>
      </c>
      <c r="G970" s="64">
        <f t="shared" si="121"/>
        <v>0</v>
      </c>
      <c r="H970" s="64">
        <f t="shared" si="122"/>
        <v>0</v>
      </c>
    </row>
    <row r="971" spans="2:8" hidden="1" outlineLevel="2" x14ac:dyDescent="0.25">
      <c r="B971" s="1" t="s">
        <v>329</v>
      </c>
      <c r="C971" s="44">
        <v>20649.03</v>
      </c>
      <c r="E971" s="50">
        <v>0</v>
      </c>
      <c r="F971" s="50">
        <v>0</v>
      </c>
      <c r="G971" s="64">
        <f t="shared" si="121"/>
        <v>0</v>
      </c>
      <c r="H971" s="64">
        <f t="shared" si="122"/>
        <v>0</v>
      </c>
    </row>
    <row r="972" spans="2:8" hidden="1" outlineLevel="2" x14ac:dyDescent="0.25">
      <c r="B972" s="1" t="s">
        <v>166</v>
      </c>
      <c r="C972" s="44">
        <v>4296.96</v>
      </c>
      <c r="E972" s="50">
        <v>0</v>
      </c>
      <c r="F972" s="50">
        <v>0</v>
      </c>
      <c r="G972" s="64">
        <f t="shared" si="121"/>
        <v>0</v>
      </c>
      <c r="H972" s="64">
        <f t="shared" si="122"/>
        <v>0</v>
      </c>
    </row>
    <row r="973" spans="2:8" hidden="1" outlineLevel="2" x14ac:dyDescent="0.25">
      <c r="B973" s="1" t="s">
        <v>330</v>
      </c>
      <c r="C973" s="44">
        <v>2318.3200000000002</v>
      </c>
      <c r="E973" s="50">
        <v>0</v>
      </c>
      <c r="F973" s="50">
        <v>0</v>
      </c>
      <c r="G973" s="64">
        <f t="shared" si="121"/>
        <v>0</v>
      </c>
      <c r="H973" s="64">
        <f t="shared" si="122"/>
        <v>0</v>
      </c>
    </row>
    <row r="974" spans="2:8" hidden="1" outlineLevel="2" x14ac:dyDescent="0.25">
      <c r="B974" s="1" t="s">
        <v>167</v>
      </c>
      <c r="C974" s="44">
        <v>5749.92</v>
      </c>
      <c r="E974" s="50">
        <v>0</v>
      </c>
      <c r="F974" s="50">
        <v>0</v>
      </c>
      <c r="G974" s="64">
        <f t="shared" si="121"/>
        <v>0</v>
      </c>
      <c r="H974" s="64">
        <f t="shared" si="122"/>
        <v>0</v>
      </c>
    </row>
    <row r="975" spans="2:8" hidden="1" outlineLevel="2" x14ac:dyDescent="0.25">
      <c r="B975" s="1" t="s">
        <v>331</v>
      </c>
      <c r="C975" s="44">
        <v>36613.71</v>
      </c>
      <c r="E975" s="50">
        <v>0</v>
      </c>
      <c r="F975" s="50">
        <v>0</v>
      </c>
      <c r="G975" s="64">
        <f t="shared" si="121"/>
        <v>0</v>
      </c>
      <c r="H975" s="64">
        <f t="shared" si="122"/>
        <v>0</v>
      </c>
    </row>
    <row r="976" spans="2:8" hidden="1" outlineLevel="2" x14ac:dyDescent="0.25">
      <c r="B976" s="1" t="s">
        <v>105</v>
      </c>
      <c r="C976" s="44">
        <v>2488.67</v>
      </c>
      <c r="E976" s="50">
        <v>0</v>
      </c>
      <c r="F976" s="50">
        <v>0</v>
      </c>
      <c r="G976" s="64">
        <f t="shared" si="121"/>
        <v>0</v>
      </c>
      <c r="H976" s="64">
        <f t="shared" si="122"/>
        <v>0</v>
      </c>
    </row>
    <row r="977" spans="2:8" outlineLevel="1" collapsed="1" x14ac:dyDescent="0.25">
      <c r="B977" s="60" t="s">
        <v>169</v>
      </c>
      <c r="C977" s="61">
        <v>7350.66</v>
      </c>
      <c r="E977" s="62"/>
      <c r="F977" s="62"/>
      <c r="G977" s="63"/>
      <c r="H977" s="63"/>
    </row>
    <row r="978" spans="2:8" hidden="1" outlineLevel="2" x14ac:dyDescent="0.25">
      <c r="B978" s="1" t="s">
        <v>170</v>
      </c>
      <c r="C978" s="44">
        <v>5509.8</v>
      </c>
      <c r="E978" s="50">
        <v>0</v>
      </c>
      <c r="F978" s="50">
        <v>0</v>
      </c>
      <c r="G978" s="64">
        <f>+E978*C978</f>
        <v>0</v>
      </c>
      <c r="H978" s="64">
        <f>+F978*C978</f>
        <v>0</v>
      </c>
    </row>
    <row r="979" spans="2:8" hidden="1" outlineLevel="2" x14ac:dyDescent="0.25">
      <c r="B979" s="1" t="s">
        <v>171</v>
      </c>
      <c r="C979" s="44">
        <v>1840.86</v>
      </c>
      <c r="E979" s="50">
        <v>0</v>
      </c>
      <c r="F979" s="50">
        <v>0</v>
      </c>
      <c r="G979" s="64">
        <f>+E979*C979</f>
        <v>0</v>
      </c>
      <c r="H979" s="64">
        <f>+F979*C979</f>
        <v>0</v>
      </c>
    </row>
    <row r="980" spans="2:8" outlineLevel="1" collapsed="1" x14ac:dyDescent="0.25">
      <c r="B980" s="60" t="s">
        <v>172</v>
      </c>
      <c r="C980" s="61">
        <v>25050.720000000001</v>
      </c>
      <c r="E980" s="62"/>
      <c r="F980" s="62"/>
      <c r="G980" s="63"/>
      <c r="H980" s="63"/>
    </row>
    <row r="981" spans="2:8" hidden="1" outlineLevel="2" x14ac:dyDescent="0.25">
      <c r="B981" s="1" t="s">
        <v>173</v>
      </c>
      <c r="C981" s="44">
        <v>3716.95</v>
      </c>
      <c r="E981" s="50">
        <v>0</v>
      </c>
      <c r="F981" s="50">
        <v>0</v>
      </c>
      <c r="G981" s="64">
        <f>+E981*C981</f>
        <v>0</v>
      </c>
      <c r="H981" s="64">
        <f>+F981*C981</f>
        <v>0</v>
      </c>
    </row>
    <row r="982" spans="2:8" hidden="1" outlineLevel="2" x14ac:dyDescent="0.25">
      <c r="B982" s="1" t="s">
        <v>174</v>
      </c>
      <c r="C982" s="44">
        <v>21333.77</v>
      </c>
      <c r="E982" s="50">
        <v>0</v>
      </c>
      <c r="F982" s="50">
        <v>0</v>
      </c>
      <c r="G982" s="64">
        <f>+E982*C982</f>
        <v>0</v>
      </c>
      <c r="H982" s="64">
        <f>+F982*C982</f>
        <v>0</v>
      </c>
    </row>
    <row r="983" spans="2:8" outlineLevel="1" collapsed="1" x14ac:dyDescent="0.25">
      <c r="B983" s="60" t="s">
        <v>175</v>
      </c>
      <c r="C983" s="61">
        <v>188894.05</v>
      </c>
      <c r="E983" s="62"/>
      <c r="F983" s="62"/>
      <c r="G983" s="63"/>
      <c r="H983" s="63"/>
    </row>
    <row r="984" spans="2:8" hidden="1" outlineLevel="2" x14ac:dyDescent="0.25">
      <c r="B984" s="1" t="s">
        <v>176</v>
      </c>
      <c r="C984" s="44">
        <v>2170.59</v>
      </c>
      <c r="E984" s="50">
        <v>0</v>
      </c>
      <c r="F984" s="50">
        <v>0</v>
      </c>
      <c r="G984" s="64">
        <f t="shared" ref="G984:G1009" si="123">+E984*C984</f>
        <v>0</v>
      </c>
      <c r="H984" s="64">
        <f t="shared" ref="H984:H1009" si="124">+F984*C984</f>
        <v>0</v>
      </c>
    </row>
    <row r="985" spans="2:8" hidden="1" outlineLevel="2" x14ac:dyDescent="0.25">
      <c r="B985" s="1" t="s">
        <v>332</v>
      </c>
      <c r="C985" s="44">
        <v>0</v>
      </c>
      <c r="E985" s="50">
        <v>0</v>
      </c>
      <c r="F985" s="50">
        <v>0</v>
      </c>
      <c r="G985" s="64">
        <f t="shared" si="123"/>
        <v>0</v>
      </c>
      <c r="H985" s="64">
        <f t="shared" si="124"/>
        <v>0</v>
      </c>
    </row>
    <row r="986" spans="2:8" hidden="1" outlineLevel="2" x14ac:dyDescent="0.25">
      <c r="B986" s="1" t="s">
        <v>333</v>
      </c>
      <c r="C986" s="44">
        <v>9159.15</v>
      </c>
      <c r="E986" s="50">
        <v>0</v>
      </c>
      <c r="F986" s="50">
        <v>0</v>
      </c>
      <c r="G986" s="64">
        <f t="shared" si="123"/>
        <v>0</v>
      </c>
      <c r="H986" s="64">
        <f t="shared" si="124"/>
        <v>0</v>
      </c>
    </row>
    <row r="987" spans="2:8" hidden="1" outlineLevel="2" x14ac:dyDescent="0.25">
      <c r="B987" s="1" t="s">
        <v>334</v>
      </c>
      <c r="C987" s="44">
        <v>6332.5</v>
      </c>
      <c r="E987" s="50">
        <v>0</v>
      </c>
      <c r="F987" s="50">
        <v>0</v>
      </c>
      <c r="G987" s="64">
        <f t="shared" si="123"/>
        <v>0</v>
      </c>
      <c r="H987" s="64">
        <f t="shared" si="124"/>
        <v>0</v>
      </c>
    </row>
    <row r="988" spans="2:8" hidden="1" outlineLevel="2" x14ac:dyDescent="0.25">
      <c r="B988" s="1" t="s">
        <v>335</v>
      </c>
      <c r="C988" s="44">
        <v>1656.86</v>
      </c>
      <c r="E988" s="50">
        <v>0</v>
      </c>
      <c r="F988" s="50">
        <v>0</v>
      </c>
      <c r="G988" s="64">
        <f t="shared" si="123"/>
        <v>0</v>
      </c>
      <c r="H988" s="64">
        <f t="shared" si="124"/>
        <v>0</v>
      </c>
    </row>
    <row r="989" spans="2:8" hidden="1" outlineLevel="2" x14ac:dyDescent="0.25">
      <c r="B989" s="1" t="s">
        <v>336</v>
      </c>
      <c r="C989" s="44">
        <v>261.52999999999997</v>
      </c>
      <c r="E989" s="50">
        <v>0</v>
      </c>
      <c r="F989" s="50">
        <v>0</v>
      </c>
      <c r="G989" s="64">
        <f t="shared" si="123"/>
        <v>0</v>
      </c>
      <c r="H989" s="64">
        <f t="shared" si="124"/>
        <v>0</v>
      </c>
    </row>
    <row r="990" spans="2:8" hidden="1" outlineLevel="2" x14ac:dyDescent="0.25">
      <c r="B990" s="1" t="s">
        <v>337</v>
      </c>
      <c r="C990" s="44">
        <v>1615.32</v>
      </c>
      <c r="E990" s="50">
        <v>0</v>
      </c>
      <c r="F990" s="50">
        <v>0</v>
      </c>
      <c r="G990" s="64">
        <f t="shared" si="123"/>
        <v>0</v>
      </c>
      <c r="H990" s="64">
        <f t="shared" si="124"/>
        <v>0</v>
      </c>
    </row>
    <row r="991" spans="2:8" hidden="1" outlineLevel="2" x14ac:dyDescent="0.25">
      <c r="B991" s="1" t="s">
        <v>177</v>
      </c>
      <c r="C991" s="44">
        <v>3892.35</v>
      </c>
      <c r="E991" s="50">
        <v>0</v>
      </c>
      <c r="F991" s="50">
        <v>0</v>
      </c>
      <c r="G991" s="64">
        <f t="shared" si="123"/>
        <v>0</v>
      </c>
      <c r="H991" s="64">
        <f t="shared" si="124"/>
        <v>0</v>
      </c>
    </row>
    <row r="992" spans="2:8" hidden="1" outlineLevel="2" x14ac:dyDescent="0.25">
      <c r="B992" s="1" t="s">
        <v>178</v>
      </c>
      <c r="C992" s="44">
        <v>103.26</v>
      </c>
      <c r="E992" s="50">
        <v>0</v>
      </c>
      <c r="F992" s="50">
        <v>0</v>
      </c>
      <c r="G992" s="64">
        <f t="shared" si="123"/>
        <v>0</v>
      </c>
      <c r="H992" s="64">
        <f t="shared" si="124"/>
        <v>0</v>
      </c>
    </row>
    <row r="993" spans="2:8" hidden="1" outlineLevel="2" x14ac:dyDescent="0.25">
      <c r="B993" s="1" t="s">
        <v>179</v>
      </c>
      <c r="C993" s="44">
        <v>2300.16</v>
      </c>
      <c r="E993" s="50">
        <v>0</v>
      </c>
      <c r="F993" s="50">
        <v>0</v>
      </c>
      <c r="G993" s="64">
        <f t="shared" si="123"/>
        <v>0</v>
      </c>
      <c r="H993" s="64">
        <f t="shared" si="124"/>
        <v>0</v>
      </c>
    </row>
    <row r="994" spans="2:8" hidden="1" outlineLevel="2" x14ac:dyDescent="0.25">
      <c r="B994" s="1" t="s">
        <v>180</v>
      </c>
      <c r="C994" s="44">
        <v>697.01</v>
      </c>
      <c r="E994" s="50">
        <v>0</v>
      </c>
      <c r="F994" s="50">
        <v>0</v>
      </c>
      <c r="G994" s="64">
        <f t="shared" si="123"/>
        <v>0</v>
      </c>
      <c r="H994" s="64">
        <f t="shared" si="124"/>
        <v>0</v>
      </c>
    </row>
    <row r="995" spans="2:8" hidden="1" outlineLevel="2" x14ac:dyDescent="0.25">
      <c r="B995" s="1" t="s">
        <v>95</v>
      </c>
      <c r="C995" s="44">
        <v>574.99</v>
      </c>
      <c r="E995" s="50">
        <v>0</v>
      </c>
      <c r="F995" s="50">
        <v>0</v>
      </c>
      <c r="G995" s="64">
        <f t="shared" si="123"/>
        <v>0</v>
      </c>
      <c r="H995" s="64">
        <f t="shared" si="124"/>
        <v>0</v>
      </c>
    </row>
    <row r="996" spans="2:8" hidden="1" outlineLevel="2" x14ac:dyDescent="0.25">
      <c r="B996" s="1" t="s">
        <v>181</v>
      </c>
      <c r="C996" s="44">
        <v>4001.07</v>
      </c>
      <c r="E996" s="50">
        <v>0</v>
      </c>
      <c r="F996" s="50">
        <v>0</v>
      </c>
      <c r="G996" s="64">
        <f t="shared" si="123"/>
        <v>0</v>
      </c>
      <c r="H996" s="64">
        <f t="shared" si="124"/>
        <v>0</v>
      </c>
    </row>
    <row r="997" spans="2:8" hidden="1" outlineLevel="2" x14ac:dyDescent="0.25">
      <c r="B997" s="1" t="s">
        <v>182</v>
      </c>
      <c r="C997" s="44">
        <v>582.16999999999996</v>
      </c>
      <c r="E997" s="50">
        <v>0</v>
      </c>
      <c r="F997" s="50">
        <v>0</v>
      </c>
      <c r="G997" s="64">
        <f t="shared" si="123"/>
        <v>0</v>
      </c>
      <c r="H997" s="64">
        <f t="shared" si="124"/>
        <v>0</v>
      </c>
    </row>
    <row r="998" spans="2:8" hidden="1" outlineLevel="2" x14ac:dyDescent="0.25">
      <c r="B998" s="1" t="s">
        <v>98</v>
      </c>
      <c r="C998" s="44">
        <v>574.99</v>
      </c>
      <c r="E998" s="50">
        <v>0</v>
      </c>
      <c r="F998" s="50">
        <v>0</v>
      </c>
      <c r="G998" s="64">
        <f t="shared" si="123"/>
        <v>0</v>
      </c>
      <c r="H998" s="64">
        <f t="shared" si="124"/>
        <v>0</v>
      </c>
    </row>
    <row r="999" spans="2:8" hidden="1" outlineLevel="2" x14ac:dyDescent="0.25">
      <c r="B999" s="1" t="s">
        <v>183</v>
      </c>
      <c r="C999" s="44">
        <v>5038.08</v>
      </c>
      <c r="E999" s="50">
        <v>0</v>
      </c>
      <c r="F999" s="50">
        <v>0</v>
      </c>
      <c r="G999" s="64">
        <f t="shared" si="123"/>
        <v>0</v>
      </c>
      <c r="H999" s="64">
        <f t="shared" si="124"/>
        <v>0</v>
      </c>
    </row>
    <row r="1000" spans="2:8" hidden="1" outlineLevel="2" x14ac:dyDescent="0.25">
      <c r="B1000" s="1" t="s">
        <v>184</v>
      </c>
      <c r="C1000" s="44">
        <v>19232.099999999999</v>
      </c>
      <c r="E1000" s="50">
        <v>0</v>
      </c>
      <c r="F1000" s="50">
        <v>0</v>
      </c>
      <c r="G1000" s="64">
        <f t="shared" si="123"/>
        <v>0</v>
      </c>
      <c r="H1000" s="64">
        <f t="shared" si="124"/>
        <v>0</v>
      </c>
    </row>
    <row r="1001" spans="2:8" hidden="1" outlineLevel="2" x14ac:dyDescent="0.25">
      <c r="B1001" s="1" t="s">
        <v>105</v>
      </c>
      <c r="C1001" s="44">
        <v>961.86</v>
      </c>
      <c r="E1001" s="50">
        <v>0</v>
      </c>
      <c r="F1001" s="50">
        <v>0</v>
      </c>
      <c r="G1001" s="64">
        <f t="shared" si="123"/>
        <v>0</v>
      </c>
      <c r="H1001" s="64">
        <f t="shared" si="124"/>
        <v>0</v>
      </c>
    </row>
    <row r="1002" spans="2:8" hidden="1" outlineLevel="2" x14ac:dyDescent="0.25">
      <c r="B1002" s="1" t="s">
        <v>185</v>
      </c>
      <c r="C1002" s="44">
        <v>34476.089999999997</v>
      </c>
      <c r="E1002" s="50">
        <v>0</v>
      </c>
      <c r="F1002" s="50">
        <v>0</v>
      </c>
      <c r="G1002" s="64">
        <f t="shared" si="123"/>
        <v>0</v>
      </c>
      <c r="H1002" s="64">
        <f t="shared" si="124"/>
        <v>0</v>
      </c>
    </row>
    <row r="1003" spans="2:8" hidden="1" outlineLevel="2" x14ac:dyDescent="0.25">
      <c r="B1003" s="1" t="s">
        <v>186</v>
      </c>
      <c r="C1003" s="44">
        <v>7984.25</v>
      </c>
      <c r="E1003" s="50">
        <v>0</v>
      </c>
      <c r="F1003" s="50">
        <v>0</v>
      </c>
      <c r="G1003" s="64">
        <f t="shared" si="123"/>
        <v>0</v>
      </c>
      <c r="H1003" s="64">
        <f t="shared" si="124"/>
        <v>0</v>
      </c>
    </row>
    <row r="1004" spans="2:8" hidden="1" outlineLevel="2" x14ac:dyDescent="0.25">
      <c r="B1004" s="1" t="s">
        <v>105</v>
      </c>
      <c r="C1004" s="44">
        <v>399.32</v>
      </c>
      <c r="E1004" s="50">
        <v>0</v>
      </c>
      <c r="F1004" s="50">
        <v>0</v>
      </c>
      <c r="G1004" s="64">
        <f t="shared" si="123"/>
        <v>0</v>
      </c>
      <c r="H1004" s="64">
        <f t="shared" si="124"/>
        <v>0</v>
      </c>
    </row>
    <row r="1005" spans="2:8" hidden="1" outlineLevel="2" x14ac:dyDescent="0.25">
      <c r="B1005" s="1" t="s">
        <v>187</v>
      </c>
      <c r="C1005" s="44">
        <v>742.91</v>
      </c>
      <c r="E1005" s="50">
        <v>0</v>
      </c>
      <c r="F1005" s="50">
        <v>0</v>
      </c>
      <c r="G1005" s="64">
        <f t="shared" si="123"/>
        <v>0</v>
      </c>
      <c r="H1005" s="64">
        <f t="shared" si="124"/>
        <v>0</v>
      </c>
    </row>
    <row r="1006" spans="2:8" hidden="1" outlineLevel="2" x14ac:dyDescent="0.25">
      <c r="B1006" s="1" t="s">
        <v>188</v>
      </c>
      <c r="C1006" s="44">
        <v>9692.98</v>
      </c>
      <c r="E1006" s="50">
        <v>0</v>
      </c>
      <c r="F1006" s="50">
        <v>0</v>
      </c>
      <c r="G1006" s="64">
        <f t="shared" si="123"/>
        <v>0</v>
      </c>
      <c r="H1006" s="64">
        <f t="shared" si="124"/>
        <v>0</v>
      </c>
    </row>
    <row r="1007" spans="2:8" hidden="1" outlineLevel="2" x14ac:dyDescent="0.25">
      <c r="B1007" s="1" t="s">
        <v>338</v>
      </c>
      <c r="C1007" s="44">
        <v>29626.57</v>
      </c>
      <c r="E1007" s="50">
        <v>0</v>
      </c>
      <c r="F1007" s="50">
        <v>0</v>
      </c>
      <c r="G1007" s="64">
        <f t="shared" si="123"/>
        <v>0</v>
      </c>
      <c r="H1007" s="64">
        <f t="shared" si="124"/>
        <v>0</v>
      </c>
    </row>
    <row r="1008" spans="2:8" hidden="1" outlineLevel="2" x14ac:dyDescent="0.25">
      <c r="B1008" s="1" t="s">
        <v>339</v>
      </c>
      <c r="C1008" s="44">
        <v>33171.08</v>
      </c>
      <c r="E1008" s="50">
        <v>0</v>
      </c>
      <c r="F1008" s="50">
        <v>0</v>
      </c>
      <c r="G1008" s="64">
        <f t="shared" si="123"/>
        <v>0</v>
      </c>
      <c r="H1008" s="64">
        <f t="shared" si="124"/>
        <v>0</v>
      </c>
    </row>
    <row r="1009" spans="2:8" hidden="1" outlineLevel="2" x14ac:dyDescent="0.25">
      <c r="B1009" s="1" t="s">
        <v>340</v>
      </c>
      <c r="C1009" s="44">
        <v>13646.86</v>
      </c>
      <c r="E1009" s="50">
        <v>0</v>
      </c>
      <c r="F1009" s="50">
        <v>0</v>
      </c>
      <c r="G1009" s="64">
        <f t="shared" si="123"/>
        <v>0</v>
      </c>
      <c r="H1009" s="64">
        <f t="shared" si="124"/>
        <v>0</v>
      </c>
    </row>
    <row r="1010" spans="2:8" outlineLevel="1" collapsed="1" x14ac:dyDescent="0.25">
      <c r="B1010" s="60" t="s">
        <v>190</v>
      </c>
      <c r="C1010" s="61">
        <v>166532.97</v>
      </c>
      <c r="E1010" s="62"/>
      <c r="F1010" s="62"/>
      <c r="G1010" s="63"/>
      <c r="H1010" s="63"/>
    </row>
    <row r="1011" spans="2:8" hidden="1" outlineLevel="2" x14ac:dyDescent="0.25">
      <c r="B1011" s="1" t="s">
        <v>191</v>
      </c>
      <c r="C1011" s="44">
        <v>64808.09</v>
      </c>
      <c r="E1011" s="50">
        <v>0</v>
      </c>
      <c r="F1011" s="50">
        <v>0</v>
      </c>
      <c r="G1011" s="64">
        <f t="shared" ref="G1011:G1018" si="125">+E1011*C1011</f>
        <v>0</v>
      </c>
      <c r="H1011" s="64">
        <f t="shared" ref="H1011:H1018" si="126">+F1011*C1011</f>
        <v>0</v>
      </c>
    </row>
    <row r="1012" spans="2:8" hidden="1" outlineLevel="2" x14ac:dyDescent="0.25">
      <c r="B1012" s="1" t="s">
        <v>192</v>
      </c>
      <c r="C1012" s="44">
        <v>38790.660000000003</v>
      </c>
      <c r="E1012" s="50">
        <v>0</v>
      </c>
      <c r="F1012" s="50">
        <v>0</v>
      </c>
      <c r="G1012" s="64">
        <f t="shared" si="125"/>
        <v>0</v>
      </c>
      <c r="H1012" s="64">
        <f t="shared" si="126"/>
        <v>0</v>
      </c>
    </row>
    <row r="1013" spans="2:8" hidden="1" outlineLevel="2" x14ac:dyDescent="0.25">
      <c r="B1013" s="1" t="s">
        <v>193</v>
      </c>
      <c r="C1013" s="44">
        <v>22861.3</v>
      </c>
      <c r="E1013" s="50">
        <v>0</v>
      </c>
      <c r="F1013" s="50">
        <v>0</v>
      </c>
      <c r="G1013" s="64">
        <f t="shared" si="125"/>
        <v>0</v>
      </c>
      <c r="H1013" s="64">
        <f t="shared" si="126"/>
        <v>0</v>
      </c>
    </row>
    <row r="1014" spans="2:8" hidden="1" outlineLevel="2" x14ac:dyDescent="0.25">
      <c r="B1014" s="1" t="s">
        <v>194</v>
      </c>
      <c r="C1014" s="44">
        <v>3311.24</v>
      </c>
      <c r="E1014" s="50">
        <v>0</v>
      </c>
      <c r="F1014" s="50">
        <v>0</v>
      </c>
      <c r="G1014" s="64">
        <f t="shared" si="125"/>
        <v>0</v>
      </c>
      <c r="H1014" s="64">
        <f t="shared" si="126"/>
        <v>0</v>
      </c>
    </row>
    <row r="1015" spans="2:8" hidden="1" outlineLevel="2" x14ac:dyDescent="0.25">
      <c r="B1015" s="1" t="s">
        <v>341</v>
      </c>
      <c r="C1015" s="44">
        <v>17500.990000000002</v>
      </c>
      <c r="E1015" s="50">
        <v>0</v>
      </c>
      <c r="F1015" s="50">
        <v>0</v>
      </c>
      <c r="G1015" s="64">
        <f t="shared" si="125"/>
        <v>0</v>
      </c>
      <c r="H1015" s="64">
        <f t="shared" si="126"/>
        <v>0</v>
      </c>
    </row>
    <row r="1016" spans="2:8" hidden="1" outlineLevel="2" x14ac:dyDescent="0.25">
      <c r="B1016" s="1" t="s">
        <v>342</v>
      </c>
      <c r="C1016" s="44">
        <v>12951.73</v>
      </c>
      <c r="E1016" s="50">
        <v>0</v>
      </c>
      <c r="F1016" s="50">
        <v>0</v>
      </c>
      <c r="G1016" s="64">
        <f t="shared" si="125"/>
        <v>0</v>
      </c>
      <c r="H1016" s="64">
        <f t="shared" si="126"/>
        <v>0</v>
      </c>
    </row>
    <row r="1017" spans="2:8" hidden="1" outlineLevel="2" x14ac:dyDescent="0.25">
      <c r="B1017" s="1" t="s">
        <v>343</v>
      </c>
      <c r="C1017" s="44">
        <v>3589.26</v>
      </c>
      <c r="E1017" s="50">
        <v>0</v>
      </c>
      <c r="F1017" s="50">
        <v>0</v>
      </c>
      <c r="G1017" s="64">
        <f t="shared" si="125"/>
        <v>0</v>
      </c>
      <c r="H1017" s="64">
        <f t="shared" si="126"/>
        <v>0</v>
      </c>
    </row>
    <row r="1018" spans="2:8" hidden="1" outlineLevel="2" x14ac:dyDescent="0.25">
      <c r="B1018" s="1" t="s">
        <v>344</v>
      </c>
      <c r="C1018" s="44">
        <v>2719.7</v>
      </c>
      <c r="E1018" s="50">
        <v>0</v>
      </c>
      <c r="F1018" s="50">
        <v>0</v>
      </c>
      <c r="G1018" s="64">
        <f t="shared" si="125"/>
        <v>0</v>
      </c>
      <c r="H1018" s="64">
        <f t="shared" si="126"/>
        <v>0</v>
      </c>
    </row>
    <row r="1019" spans="2:8" outlineLevel="1" collapsed="1" x14ac:dyDescent="0.25">
      <c r="B1019" s="60" t="s">
        <v>195</v>
      </c>
      <c r="C1019" s="61">
        <v>211896.68</v>
      </c>
      <c r="E1019" s="62"/>
      <c r="F1019" s="62"/>
      <c r="G1019" s="63"/>
      <c r="H1019" s="63"/>
    </row>
    <row r="1020" spans="2:8" hidden="1" outlineLevel="2" x14ac:dyDescent="0.25">
      <c r="B1020" s="1" t="s">
        <v>196</v>
      </c>
      <c r="C1020" s="44">
        <v>101452.75</v>
      </c>
      <c r="E1020" s="50">
        <v>0</v>
      </c>
      <c r="F1020" s="50">
        <v>0</v>
      </c>
      <c r="G1020" s="64">
        <f t="shared" ref="G1020:G1026" si="127">+E1020*C1020</f>
        <v>0</v>
      </c>
      <c r="H1020" s="64">
        <f t="shared" ref="H1020:H1026" si="128">+F1020*C1020</f>
        <v>0</v>
      </c>
    </row>
    <row r="1021" spans="2:8" hidden="1" outlineLevel="2" x14ac:dyDescent="0.25">
      <c r="B1021" s="1" t="s">
        <v>345</v>
      </c>
      <c r="C1021" s="44">
        <v>5107.7700000000004</v>
      </c>
      <c r="E1021" s="50">
        <v>0</v>
      </c>
      <c r="F1021" s="50">
        <v>0</v>
      </c>
      <c r="G1021" s="64">
        <f t="shared" si="127"/>
        <v>0</v>
      </c>
      <c r="H1021" s="64">
        <f t="shared" si="128"/>
        <v>0</v>
      </c>
    </row>
    <row r="1022" spans="2:8" hidden="1" outlineLevel="2" x14ac:dyDescent="0.25">
      <c r="B1022" s="1" t="s">
        <v>346</v>
      </c>
      <c r="C1022" s="44">
        <v>36924.78</v>
      </c>
      <c r="E1022" s="50">
        <v>0</v>
      </c>
      <c r="F1022" s="50">
        <v>0</v>
      </c>
      <c r="G1022" s="64">
        <f t="shared" si="127"/>
        <v>0</v>
      </c>
      <c r="H1022" s="64">
        <f t="shared" si="128"/>
        <v>0</v>
      </c>
    </row>
    <row r="1023" spans="2:8" hidden="1" outlineLevel="2" x14ac:dyDescent="0.25">
      <c r="B1023" s="1" t="s">
        <v>347</v>
      </c>
      <c r="C1023" s="44">
        <v>6597.05</v>
      </c>
      <c r="E1023" s="50">
        <v>0</v>
      </c>
      <c r="F1023" s="50">
        <v>0</v>
      </c>
      <c r="G1023" s="64">
        <f t="shared" si="127"/>
        <v>0</v>
      </c>
      <c r="H1023" s="64">
        <f t="shared" si="128"/>
        <v>0</v>
      </c>
    </row>
    <row r="1024" spans="2:8" hidden="1" outlineLevel="2" x14ac:dyDescent="0.25">
      <c r="B1024" s="1" t="s">
        <v>348</v>
      </c>
      <c r="C1024" s="44">
        <v>15889.99</v>
      </c>
      <c r="E1024" s="50">
        <v>0</v>
      </c>
      <c r="F1024" s="50">
        <v>0</v>
      </c>
      <c r="G1024" s="64">
        <f t="shared" si="127"/>
        <v>0</v>
      </c>
      <c r="H1024" s="64">
        <f t="shared" si="128"/>
        <v>0</v>
      </c>
    </row>
    <row r="1025" spans="2:8" hidden="1" outlineLevel="2" x14ac:dyDescent="0.25">
      <c r="B1025" s="1" t="s">
        <v>199</v>
      </c>
      <c r="C1025" s="44">
        <v>35433.1</v>
      </c>
      <c r="E1025" s="50">
        <v>0</v>
      </c>
      <c r="F1025" s="50">
        <v>0</v>
      </c>
      <c r="G1025" s="64">
        <f t="shared" si="127"/>
        <v>0</v>
      </c>
      <c r="H1025" s="64">
        <f t="shared" si="128"/>
        <v>0</v>
      </c>
    </row>
    <row r="1026" spans="2:8" hidden="1" outlineLevel="2" x14ac:dyDescent="0.25">
      <c r="B1026" s="1" t="s">
        <v>201</v>
      </c>
      <c r="C1026" s="44">
        <v>10491.24</v>
      </c>
      <c r="E1026" s="50">
        <v>0</v>
      </c>
      <c r="F1026" s="50">
        <v>0</v>
      </c>
      <c r="G1026" s="64">
        <f t="shared" si="127"/>
        <v>0</v>
      </c>
      <c r="H1026" s="64">
        <f t="shared" si="128"/>
        <v>0</v>
      </c>
    </row>
    <row r="1027" spans="2:8" outlineLevel="1" collapsed="1" x14ac:dyDescent="0.25">
      <c r="B1027" s="60" t="s">
        <v>202</v>
      </c>
      <c r="C1027" s="61">
        <v>128336.19</v>
      </c>
      <c r="E1027" s="62"/>
      <c r="F1027" s="62"/>
      <c r="G1027" s="63"/>
      <c r="H1027" s="63"/>
    </row>
    <row r="1028" spans="2:8" hidden="1" outlineLevel="2" x14ac:dyDescent="0.25">
      <c r="B1028" s="1" t="s">
        <v>203</v>
      </c>
      <c r="C1028" s="44">
        <v>79508.289999999994</v>
      </c>
      <c r="E1028" s="50">
        <v>0</v>
      </c>
      <c r="F1028" s="50">
        <v>0</v>
      </c>
      <c r="G1028" s="64">
        <f t="shared" ref="G1028:G1043" si="129">+E1028*C1028</f>
        <v>0</v>
      </c>
      <c r="H1028" s="64">
        <f t="shared" ref="H1028:H1043" si="130">+F1028*C1028</f>
        <v>0</v>
      </c>
    </row>
    <row r="1029" spans="2:8" hidden="1" outlineLevel="2" x14ac:dyDescent="0.25">
      <c r="B1029" s="1" t="s">
        <v>349</v>
      </c>
      <c r="C1029" s="44">
        <v>66315.990000000005</v>
      </c>
      <c r="E1029" s="50">
        <v>0</v>
      </c>
      <c r="F1029" s="50">
        <v>0</v>
      </c>
      <c r="G1029" s="64">
        <f t="shared" si="129"/>
        <v>0</v>
      </c>
      <c r="H1029" s="64">
        <f t="shared" si="130"/>
        <v>0</v>
      </c>
    </row>
    <row r="1030" spans="2:8" hidden="1" outlineLevel="2" x14ac:dyDescent="0.25">
      <c r="B1030" s="1" t="s">
        <v>350</v>
      </c>
      <c r="C1030" s="44">
        <v>13192.3</v>
      </c>
      <c r="E1030" s="50">
        <v>0</v>
      </c>
      <c r="F1030" s="50">
        <v>0</v>
      </c>
      <c r="G1030" s="64">
        <f t="shared" si="129"/>
        <v>0</v>
      </c>
      <c r="H1030" s="64">
        <f t="shared" si="130"/>
        <v>0</v>
      </c>
    </row>
    <row r="1031" spans="2:8" hidden="1" outlineLevel="2" x14ac:dyDescent="0.25">
      <c r="B1031" s="1" t="s">
        <v>351</v>
      </c>
      <c r="C1031" s="44">
        <v>11266.24</v>
      </c>
      <c r="E1031" s="50">
        <v>0</v>
      </c>
      <c r="F1031" s="50">
        <v>0</v>
      </c>
      <c r="G1031" s="64">
        <f t="shared" si="129"/>
        <v>0</v>
      </c>
      <c r="H1031" s="64">
        <f t="shared" si="130"/>
        <v>0</v>
      </c>
    </row>
    <row r="1032" spans="2:8" hidden="1" outlineLevel="2" x14ac:dyDescent="0.25">
      <c r="B1032" s="1" t="s">
        <v>352</v>
      </c>
      <c r="C1032" s="44">
        <v>11266.24</v>
      </c>
      <c r="E1032" s="50">
        <v>0</v>
      </c>
      <c r="F1032" s="50">
        <v>0</v>
      </c>
      <c r="G1032" s="64">
        <f t="shared" si="129"/>
        <v>0</v>
      </c>
      <c r="H1032" s="64">
        <f t="shared" si="130"/>
        <v>0</v>
      </c>
    </row>
    <row r="1033" spans="2:8" hidden="1" outlineLevel="2" x14ac:dyDescent="0.25">
      <c r="B1033" s="1" t="s">
        <v>206</v>
      </c>
      <c r="C1033" s="44">
        <v>34400.620000000003</v>
      </c>
      <c r="E1033" s="50">
        <v>0</v>
      </c>
      <c r="F1033" s="50">
        <v>0</v>
      </c>
      <c r="G1033" s="64">
        <f t="shared" si="129"/>
        <v>0</v>
      </c>
      <c r="H1033" s="64">
        <f t="shared" si="130"/>
        <v>0</v>
      </c>
    </row>
    <row r="1034" spans="2:8" hidden="1" outlineLevel="2" x14ac:dyDescent="0.25">
      <c r="B1034" s="1" t="s">
        <v>353</v>
      </c>
      <c r="C1034" s="44">
        <v>15685.85</v>
      </c>
      <c r="E1034" s="50">
        <v>0</v>
      </c>
      <c r="F1034" s="50">
        <v>0</v>
      </c>
      <c r="G1034" s="64">
        <f t="shared" si="129"/>
        <v>0</v>
      </c>
      <c r="H1034" s="64">
        <f t="shared" si="130"/>
        <v>0</v>
      </c>
    </row>
    <row r="1035" spans="2:8" hidden="1" outlineLevel="2" x14ac:dyDescent="0.25">
      <c r="B1035" s="1" t="s">
        <v>208</v>
      </c>
      <c r="C1035" s="44">
        <v>844.6</v>
      </c>
      <c r="E1035" s="50">
        <v>0</v>
      </c>
      <c r="F1035" s="50">
        <v>0</v>
      </c>
      <c r="G1035" s="64">
        <f t="shared" si="129"/>
        <v>0</v>
      </c>
      <c r="H1035" s="64">
        <f t="shared" si="130"/>
        <v>0</v>
      </c>
    </row>
    <row r="1036" spans="2:8" hidden="1" outlineLevel="2" x14ac:dyDescent="0.25">
      <c r="B1036" s="1" t="s">
        <v>354</v>
      </c>
      <c r="C1036" s="44">
        <v>2869.85</v>
      </c>
      <c r="E1036" s="50">
        <v>0</v>
      </c>
      <c r="F1036" s="50">
        <v>0</v>
      </c>
      <c r="G1036" s="64">
        <f t="shared" si="129"/>
        <v>0</v>
      </c>
      <c r="H1036" s="64">
        <f t="shared" si="130"/>
        <v>0</v>
      </c>
    </row>
    <row r="1037" spans="2:8" hidden="1" outlineLevel="2" x14ac:dyDescent="0.25">
      <c r="B1037" s="1" t="s">
        <v>350</v>
      </c>
      <c r="C1037" s="44">
        <v>3126.61</v>
      </c>
      <c r="E1037" s="50">
        <v>0</v>
      </c>
      <c r="F1037" s="50">
        <v>0</v>
      </c>
      <c r="G1037" s="64">
        <f t="shared" si="129"/>
        <v>0</v>
      </c>
      <c r="H1037" s="64">
        <f t="shared" si="130"/>
        <v>0</v>
      </c>
    </row>
    <row r="1038" spans="2:8" hidden="1" outlineLevel="2" x14ac:dyDescent="0.25">
      <c r="B1038" s="1" t="s">
        <v>349</v>
      </c>
      <c r="C1038" s="44">
        <v>6617.83</v>
      </c>
      <c r="E1038" s="50">
        <v>0</v>
      </c>
      <c r="F1038" s="50">
        <v>0</v>
      </c>
      <c r="G1038" s="64">
        <f t="shared" si="129"/>
        <v>0</v>
      </c>
      <c r="H1038" s="64">
        <f t="shared" si="130"/>
        <v>0</v>
      </c>
    </row>
    <row r="1039" spans="2:8" hidden="1" outlineLevel="2" x14ac:dyDescent="0.25">
      <c r="B1039" s="1" t="s">
        <v>210</v>
      </c>
      <c r="C1039" s="44">
        <v>2474.7399999999998</v>
      </c>
      <c r="E1039" s="50">
        <v>0</v>
      </c>
      <c r="F1039" s="50">
        <v>0</v>
      </c>
      <c r="G1039" s="64">
        <f t="shared" si="129"/>
        <v>0</v>
      </c>
      <c r="H1039" s="64">
        <f t="shared" si="130"/>
        <v>0</v>
      </c>
    </row>
    <row r="1040" spans="2:8" hidden="1" outlineLevel="2" x14ac:dyDescent="0.25">
      <c r="B1040" s="1" t="s">
        <v>211</v>
      </c>
      <c r="C1040" s="44">
        <v>2781.14</v>
      </c>
      <c r="E1040" s="50">
        <v>0</v>
      </c>
      <c r="F1040" s="50">
        <v>0</v>
      </c>
      <c r="G1040" s="64">
        <f t="shared" si="129"/>
        <v>0</v>
      </c>
      <c r="H1040" s="64">
        <f t="shared" si="130"/>
        <v>0</v>
      </c>
    </row>
    <row r="1041" spans="2:8" hidden="1" outlineLevel="2" x14ac:dyDescent="0.25">
      <c r="B1041" s="1" t="s">
        <v>56</v>
      </c>
      <c r="C1041" s="44">
        <v>3161.04</v>
      </c>
      <c r="E1041" s="50">
        <v>0</v>
      </c>
      <c r="F1041" s="50">
        <v>0</v>
      </c>
      <c r="G1041" s="64">
        <f t="shared" si="129"/>
        <v>0</v>
      </c>
      <c r="H1041" s="64">
        <f t="shared" si="130"/>
        <v>0</v>
      </c>
    </row>
    <row r="1042" spans="2:8" hidden="1" outlineLevel="2" x14ac:dyDescent="0.25">
      <c r="B1042" s="1" t="s">
        <v>349</v>
      </c>
      <c r="C1042" s="44">
        <v>3161.04</v>
      </c>
      <c r="E1042" s="50">
        <v>0</v>
      </c>
      <c r="F1042" s="50">
        <v>0</v>
      </c>
      <c r="G1042" s="64">
        <f t="shared" si="129"/>
        <v>0</v>
      </c>
      <c r="H1042" s="64">
        <f t="shared" si="130"/>
        <v>0</v>
      </c>
    </row>
    <row r="1043" spans="2:8" hidden="1" outlineLevel="2" x14ac:dyDescent="0.25">
      <c r="B1043" s="1" t="s">
        <v>350</v>
      </c>
      <c r="C1043" s="44">
        <v>0</v>
      </c>
      <c r="E1043" s="50">
        <v>0</v>
      </c>
      <c r="F1043" s="50">
        <v>0</v>
      </c>
      <c r="G1043" s="64">
        <f t="shared" si="129"/>
        <v>0</v>
      </c>
      <c r="H1043" s="64">
        <f t="shared" si="130"/>
        <v>0</v>
      </c>
    </row>
    <row r="1044" spans="2:8" outlineLevel="1" collapsed="1" x14ac:dyDescent="0.25">
      <c r="B1044" s="60" t="s">
        <v>212</v>
      </c>
      <c r="C1044" s="61">
        <v>883.4</v>
      </c>
      <c r="E1044" s="62"/>
      <c r="F1044" s="62"/>
      <c r="G1044" s="63"/>
      <c r="H1044" s="63"/>
    </row>
    <row r="1045" spans="2:8" hidden="1" outlineLevel="2" x14ac:dyDescent="0.25">
      <c r="B1045" s="1" t="s">
        <v>213</v>
      </c>
      <c r="C1045" s="44">
        <v>883.4</v>
      </c>
      <c r="E1045" s="50">
        <v>0</v>
      </c>
      <c r="F1045" s="50">
        <v>0</v>
      </c>
      <c r="G1045" s="64">
        <f>+E1045*C1045</f>
        <v>0</v>
      </c>
      <c r="H1045" s="64">
        <f>+F1045*C1045</f>
        <v>0</v>
      </c>
    </row>
    <row r="1046" spans="2:8" outlineLevel="1" collapsed="1" x14ac:dyDescent="0.25">
      <c r="B1046" s="60" t="s">
        <v>214</v>
      </c>
      <c r="C1046" s="61">
        <v>7349.8</v>
      </c>
      <c r="E1046" s="62"/>
      <c r="F1046" s="62"/>
      <c r="G1046" s="63"/>
      <c r="H1046" s="63"/>
    </row>
    <row r="1047" spans="2:8" hidden="1" outlineLevel="2" x14ac:dyDescent="0.25">
      <c r="B1047" s="1" t="s">
        <v>215</v>
      </c>
      <c r="C1047" s="44">
        <v>5509.8</v>
      </c>
      <c r="E1047" s="50">
        <v>0</v>
      </c>
      <c r="F1047" s="50">
        <v>0</v>
      </c>
      <c r="G1047" s="64">
        <f>+E1047*C1047</f>
        <v>0</v>
      </c>
      <c r="H1047" s="64">
        <f>+F1047*C1047</f>
        <v>0</v>
      </c>
    </row>
    <row r="1048" spans="2:8" hidden="1" outlineLevel="2" x14ac:dyDescent="0.25">
      <c r="B1048" s="1" t="s">
        <v>216</v>
      </c>
      <c r="C1048" s="44">
        <v>1840</v>
      </c>
      <c r="E1048" s="50">
        <v>0</v>
      </c>
      <c r="F1048" s="50">
        <v>0</v>
      </c>
      <c r="G1048" s="64">
        <f>+E1048*C1048</f>
        <v>0</v>
      </c>
      <c r="H1048" s="64">
        <f>+F1048*C1048</f>
        <v>0</v>
      </c>
    </row>
    <row r="1049" spans="2:8" outlineLevel="1" collapsed="1" x14ac:dyDescent="0.25">
      <c r="B1049" s="60" t="s">
        <v>217</v>
      </c>
      <c r="C1049" s="61">
        <v>154174.9</v>
      </c>
      <c r="E1049" s="62"/>
      <c r="F1049" s="62"/>
      <c r="G1049" s="63"/>
      <c r="H1049" s="63"/>
    </row>
    <row r="1050" spans="2:8" hidden="1" outlineLevel="2" x14ac:dyDescent="0.25">
      <c r="B1050" s="1" t="s">
        <v>355</v>
      </c>
      <c r="C1050" s="44">
        <v>21475.95</v>
      </c>
      <c r="E1050" s="50">
        <v>0</v>
      </c>
      <c r="F1050" s="50">
        <v>0</v>
      </c>
      <c r="G1050" s="64">
        <f t="shared" ref="G1050:G1059" si="131">+E1050*C1050</f>
        <v>0</v>
      </c>
      <c r="H1050" s="64">
        <f t="shared" ref="H1050:H1059" si="132">+F1050*C1050</f>
        <v>0</v>
      </c>
    </row>
    <row r="1051" spans="2:8" hidden="1" outlineLevel="2" x14ac:dyDescent="0.25">
      <c r="B1051" s="1" t="s">
        <v>356</v>
      </c>
      <c r="C1051" s="44">
        <v>13840.06</v>
      </c>
      <c r="E1051" s="50">
        <v>0</v>
      </c>
      <c r="F1051" s="50">
        <v>0</v>
      </c>
      <c r="G1051" s="64">
        <f t="shared" si="131"/>
        <v>0</v>
      </c>
      <c r="H1051" s="64">
        <f t="shared" si="132"/>
        <v>0</v>
      </c>
    </row>
    <row r="1052" spans="2:8" hidden="1" outlineLevel="2" x14ac:dyDescent="0.25">
      <c r="B1052" s="1" t="s">
        <v>357</v>
      </c>
      <c r="C1052" s="44">
        <v>1145.3800000000001</v>
      </c>
      <c r="E1052" s="50">
        <v>0</v>
      </c>
      <c r="F1052" s="50">
        <v>0</v>
      </c>
      <c r="G1052" s="64">
        <f t="shared" si="131"/>
        <v>0</v>
      </c>
      <c r="H1052" s="64">
        <f t="shared" si="132"/>
        <v>0</v>
      </c>
    </row>
    <row r="1053" spans="2:8" hidden="1" outlineLevel="2" x14ac:dyDescent="0.25">
      <c r="B1053" s="1" t="s">
        <v>358</v>
      </c>
      <c r="C1053" s="44">
        <v>3817.95</v>
      </c>
      <c r="E1053" s="50">
        <v>0</v>
      </c>
      <c r="F1053" s="50">
        <v>0</v>
      </c>
      <c r="G1053" s="64">
        <f t="shared" si="131"/>
        <v>0</v>
      </c>
      <c r="H1053" s="64">
        <f t="shared" si="132"/>
        <v>0</v>
      </c>
    </row>
    <row r="1054" spans="2:8" hidden="1" outlineLevel="2" x14ac:dyDescent="0.25">
      <c r="B1054" s="1" t="s">
        <v>359</v>
      </c>
      <c r="C1054" s="44">
        <v>16703.52</v>
      </c>
      <c r="E1054" s="50">
        <v>0</v>
      </c>
      <c r="F1054" s="50">
        <v>0</v>
      </c>
      <c r="G1054" s="64">
        <f t="shared" si="131"/>
        <v>0</v>
      </c>
      <c r="H1054" s="64">
        <f t="shared" si="132"/>
        <v>0</v>
      </c>
    </row>
    <row r="1055" spans="2:8" hidden="1" outlineLevel="2" x14ac:dyDescent="0.25">
      <c r="B1055" s="1" t="s">
        <v>360</v>
      </c>
      <c r="C1055" s="44">
        <v>12885.57</v>
      </c>
      <c r="E1055" s="50">
        <v>0</v>
      </c>
      <c r="F1055" s="50">
        <v>0</v>
      </c>
      <c r="G1055" s="64">
        <f t="shared" si="131"/>
        <v>0</v>
      </c>
      <c r="H1055" s="64">
        <f t="shared" si="132"/>
        <v>0</v>
      </c>
    </row>
    <row r="1056" spans="2:8" hidden="1" outlineLevel="2" x14ac:dyDescent="0.25">
      <c r="B1056" s="1" t="s">
        <v>361</v>
      </c>
      <c r="C1056" s="44">
        <v>32070.75</v>
      </c>
      <c r="E1056" s="50">
        <v>0</v>
      </c>
      <c r="F1056" s="50">
        <v>0</v>
      </c>
      <c r="G1056" s="64">
        <f t="shared" si="131"/>
        <v>0</v>
      </c>
      <c r="H1056" s="64">
        <f t="shared" si="132"/>
        <v>0</v>
      </c>
    </row>
    <row r="1057" spans="2:8" hidden="1" outlineLevel="2" x14ac:dyDescent="0.25">
      <c r="B1057" s="1" t="s">
        <v>362</v>
      </c>
      <c r="C1057" s="44">
        <v>7254.1</v>
      </c>
      <c r="E1057" s="50">
        <v>0</v>
      </c>
      <c r="F1057" s="50">
        <v>0</v>
      </c>
      <c r="G1057" s="64">
        <f t="shared" si="131"/>
        <v>0</v>
      </c>
      <c r="H1057" s="64">
        <f t="shared" si="132"/>
        <v>0</v>
      </c>
    </row>
    <row r="1058" spans="2:8" hidden="1" outlineLevel="2" x14ac:dyDescent="0.25">
      <c r="B1058" s="1" t="s">
        <v>363</v>
      </c>
      <c r="C1058" s="44">
        <v>38656.71</v>
      </c>
      <c r="E1058" s="50">
        <v>0</v>
      </c>
      <c r="F1058" s="50">
        <v>0</v>
      </c>
      <c r="G1058" s="64">
        <f t="shared" si="131"/>
        <v>0</v>
      </c>
      <c r="H1058" s="64">
        <f t="shared" si="132"/>
        <v>0</v>
      </c>
    </row>
    <row r="1059" spans="2:8" hidden="1" outlineLevel="2" x14ac:dyDescent="0.25">
      <c r="B1059" s="1" t="s">
        <v>364</v>
      </c>
      <c r="C1059" s="44">
        <v>6324.91</v>
      </c>
      <c r="E1059" s="50">
        <v>0</v>
      </c>
      <c r="F1059" s="50">
        <v>0</v>
      </c>
      <c r="G1059" s="64">
        <f t="shared" si="131"/>
        <v>0</v>
      </c>
      <c r="H1059" s="64">
        <f t="shared" si="132"/>
        <v>0</v>
      </c>
    </row>
    <row r="1060" spans="2:8" outlineLevel="1" collapsed="1" x14ac:dyDescent="0.25">
      <c r="B1060" s="60" t="s">
        <v>224</v>
      </c>
      <c r="C1060" s="61">
        <v>49448.68</v>
      </c>
      <c r="E1060" s="62"/>
      <c r="F1060" s="62"/>
      <c r="G1060" s="63"/>
      <c r="H1060" s="63"/>
    </row>
    <row r="1061" spans="2:8" hidden="1" outlineLevel="2" x14ac:dyDescent="0.25">
      <c r="B1061" s="1" t="s">
        <v>225</v>
      </c>
      <c r="C1061" s="44">
        <v>15449.35</v>
      </c>
      <c r="E1061" s="50">
        <v>0</v>
      </c>
      <c r="F1061" s="50">
        <v>0</v>
      </c>
      <c r="G1061" s="64">
        <f>+E1061*C1061</f>
        <v>0</v>
      </c>
      <c r="H1061" s="64">
        <f>+F1061*C1061</f>
        <v>0</v>
      </c>
    </row>
    <row r="1062" spans="2:8" hidden="1" outlineLevel="2" x14ac:dyDescent="0.25">
      <c r="B1062" s="1" t="s">
        <v>365</v>
      </c>
      <c r="C1062" s="44">
        <v>3869.74</v>
      </c>
      <c r="E1062" s="50">
        <v>0</v>
      </c>
      <c r="F1062" s="50">
        <v>0</v>
      </c>
      <c r="G1062" s="64">
        <f>+E1062*C1062</f>
        <v>0</v>
      </c>
      <c r="H1062" s="64">
        <f>+F1062*C1062</f>
        <v>0</v>
      </c>
    </row>
    <row r="1063" spans="2:8" hidden="1" outlineLevel="2" x14ac:dyDescent="0.25">
      <c r="B1063" s="1" t="s">
        <v>227</v>
      </c>
      <c r="C1063" s="44">
        <v>14719.8</v>
      </c>
      <c r="E1063" s="50">
        <v>0</v>
      </c>
      <c r="F1063" s="50">
        <v>0</v>
      </c>
      <c r="G1063" s="64">
        <f>+E1063*C1063</f>
        <v>0</v>
      </c>
      <c r="H1063" s="64">
        <f>+F1063*C1063</f>
        <v>0</v>
      </c>
    </row>
    <row r="1064" spans="2:8" hidden="1" outlineLevel="2" x14ac:dyDescent="0.25">
      <c r="B1064" s="1" t="s">
        <v>226</v>
      </c>
      <c r="C1064" s="44">
        <v>7359.9</v>
      </c>
      <c r="E1064" s="50">
        <v>0</v>
      </c>
      <c r="F1064" s="50">
        <v>0</v>
      </c>
      <c r="G1064" s="64">
        <f>+E1064*C1064</f>
        <v>0</v>
      </c>
      <c r="H1064" s="64">
        <f>+F1064*C1064</f>
        <v>0</v>
      </c>
    </row>
    <row r="1065" spans="2:8" hidden="1" outlineLevel="2" x14ac:dyDescent="0.25">
      <c r="B1065" s="1" t="s">
        <v>366</v>
      </c>
      <c r="C1065" s="44">
        <v>8049.89</v>
      </c>
      <c r="E1065" s="50">
        <v>0</v>
      </c>
      <c r="F1065" s="50">
        <v>0</v>
      </c>
      <c r="G1065" s="64">
        <f>+E1065*C1065</f>
        <v>0</v>
      </c>
      <c r="H1065" s="64">
        <f>+F1065*C1065</f>
        <v>0</v>
      </c>
    </row>
    <row r="1066" spans="2:8" outlineLevel="1" collapsed="1" x14ac:dyDescent="0.25">
      <c r="B1066" s="60" t="s">
        <v>367</v>
      </c>
      <c r="C1066" s="61">
        <v>108723.59</v>
      </c>
      <c r="E1066" s="62"/>
      <c r="F1066" s="62"/>
      <c r="G1066" s="63"/>
      <c r="H1066" s="63"/>
    </row>
    <row r="1067" spans="2:8" hidden="1" outlineLevel="2" x14ac:dyDescent="0.25">
      <c r="B1067" s="1" t="s">
        <v>368</v>
      </c>
      <c r="C1067" s="44">
        <v>30552.76</v>
      </c>
      <c r="E1067" s="50">
        <v>0</v>
      </c>
      <c r="F1067" s="50">
        <v>0</v>
      </c>
      <c r="G1067" s="64">
        <f t="shared" ref="G1067:G1074" si="133">+E1067*C1067</f>
        <v>0</v>
      </c>
      <c r="H1067" s="64">
        <f t="shared" ref="H1067:H1074" si="134">+F1067*C1067</f>
        <v>0</v>
      </c>
    </row>
    <row r="1068" spans="2:8" hidden="1" outlineLevel="2" x14ac:dyDescent="0.25">
      <c r="B1068" s="1" t="s">
        <v>369</v>
      </c>
      <c r="C1068" s="44">
        <v>38702.99</v>
      </c>
      <c r="E1068" s="50">
        <v>0</v>
      </c>
      <c r="F1068" s="50">
        <v>0</v>
      </c>
      <c r="G1068" s="64">
        <f t="shared" si="133"/>
        <v>0</v>
      </c>
      <c r="H1068" s="64">
        <f t="shared" si="134"/>
        <v>0</v>
      </c>
    </row>
    <row r="1069" spans="2:8" hidden="1" outlineLevel="2" x14ac:dyDescent="0.25">
      <c r="B1069" s="1" t="s">
        <v>370</v>
      </c>
      <c r="C1069" s="44">
        <v>18629.740000000002</v>
      </c>
      <c r="E1069" s="50">
        <v>0</v>
      </c>
      <c r="F1069" s="50">
        <v>0</v>
      </c>
      <c r="G1069" s="64">
        <f t="shared" si="133"/>
        <v>0</v>
      </c>
      <c r="H1069" s="64">
        <f t="shared" si="134"/>
        <v>0</v>
      </c>
    </row>
    <row r="1070" spans="2:8" hidden="1" outlineLevel="2" x14ac:dyDescent="0.25">
      <c r="B1070" s="1" t="s">
        <v>371</v>
      </c>
      <c r="C1070" s="44">
        <v>9290.0300000000007</v>
      </c>
      <c r="E1070" s="50">
        <v>0</v>
      </c>
      <c r="F1070" s="50">
        <v>0</v>
      </c>
      <c r="G1070" s="64">
        <f t="shared" si="133"/>
        <v>0</v>
      </c>
      <c r="H1070" s="64">
        <f t="shared" si="134"/>
        <v>0</v>
      </c>
    </row>
    <row r="1071" spans="2:8" hidden="1" outlineLevel="2" x14ac:dyDescent="0.25">
      <c r="B1071" s="1" t="s">
        <v>372</v>
      </c>
      <c r="C1071" s="44">
        <v>6899.9</v>
      </c>
      <c r="E1071" s="50">
        <v>0</v>
      </c>
      <c r="F1071" s="50">
        <v>0</v>
      </c>
      <c r="G1071" s="64">
        <f t="shared" si="133"/>
        <v>0</v>
      </c>
      <c r="H1071" s="64">
        <f t="shared" si="134"/>
        <v>0</v>
      </c>
    </row>
    <row r="1072" spans="2:8" hidden="1" outlineLevel="2" x14ac:dyDescent="0.25">
      <c r="B1072" s="1" t="s">
        <v>373</v>
      </c>
      <c r="C1072" s="44">
        <v>748.28</v>
      </c>
      <c r="E1072" s="50">
        <v>0</v>
      </c>
      <c r="F1072" s="50">
        <v>0</v>
      </c>
      <c r="G1072" s="64">
        <f t="shared" si="133"/>
        <v>0</v>
      </c>
      <c r="H1072" s="64">
        <f t="shared" si="134"/>
        <v>0</v>
      </c>
    </row>
    <row r="1073" spans="2:8" hidden="1" outlineLevel="2" x14ac:dyDescent="0.25">
      <c r="B1073" s="1" t="s">
        <v>374</v>
      </c>
      <c r="C1073" s="44">
        <v>1519.88</v>
      </c>
      <c r="E1073" s="50">
        <v>0</v>
      </c>
      <c r="F1073" s="50">
        <v>0</v>
      </c>
      <c r="G1073" s="64">
        <f t="shared" si="133"/>
        <v>0</v>
      </c>
      <c r="H1073" s="64">
        <f t="shared" si="134"/>
        <v>0</v>
      </c>
    </row>
    <row r="1074" spans="2:8" hidden="1" outlineLevel="2" x14ac:dyDescent="0.25">
      <c r="B1074" s="1" t="s">
        <v>375</v>
      </c>
      <c r="C1074" s="44">
        <v>2380.0100000000002</v>
      </c>
      <c r="E1074" s="50">
        <v>0</v>
      </c>
      <c r="F1074" s="50">
        <v>0</v>
      </c>
      <c r="G1074" s="64">
        <f t="shared" si="133"/>
        <v>0</v>
      </c>
      <c r="H1074" s="64">
        <f t="shared" si="134"/>
        <v>0</v>
      </c>
    </row>
    <row r="1075" spans="2:8" outlineLevel="1" collapsed="1" x14ac:dyDescent="0.25">
      <c r="B1075" s="60" t="s">
        <v>229</v>
      </c>
      <c r="C1075" s="61">
        <v>104124.45</v>
      </c>
      <c r="E1075" s="62"/>
      <c r="F1075" s="62"/>
      <c r="G1075" s="63"/>
      <c r="H1075" s="63"/>
    </row>
    <row r="1076" spans="2:8" hidden="1" outlineLevel="2" x14ac:dyDescent="0.25">
      <c r="B1076" s="1" t="s">
        <v>230</v>
      </c>
      <c r="C1076" s="44">
        <v>12127.73</v>
      </c>
      <c r="E1076" s="50">
        <v>0</v>
      </c>
      <c r="F1076" s="50">
        <v>0</v>
      </c>
      <c r="G1076" s="64">
        <f t="shared" ref="G1076:G1089" si="135">+E1076*C1076</f>
        <v>0</v>
      </c>
      <c r="H1076" s="64">
        <f t="shared" ref="H1076:H1089" si="136">+F1076*C1076</f>
        <v>0</v>
      </c>
    </row>
    <row r="1077" spans="2:8" hidden="1" outlineLevel="2" x14ac:dyDescent="0.25">
      <c r="B1077" s="1" t="s">
        <v>232</v>
      </c>
      <c r="C1077" s="44">
        <v>3363.66</v>
      </c>
      <c r="E1077" s="50">
        <v>0</v>
      </c>
      <c r="F1077" s="50">
        <v>0</v>
      </c>
      <c r="G1077" s="64">
        <f t="shared" si="135"/>
        <v>0</v>
      </c>
      <c r="H1077" s="64">
        <f t="shared" si="136"/>
        <v>0</v>
      </c>
    </row>
    <row r="1078" spans="2:8" hidden="1" outlineLevel="2" x14ac:dyDescent="0.25">
      <c r="B1078" s="1" t="s">
        <v>233</v>
      </c>
      <c r="C1078" s="44">
        <v>1950.38</v>
      </c>
      <c r="E1078" s="50">
        <v>0</v>
      </c>
      <c r="F1078" s="50">
        <v>0</v>
      </c>
      <c r="G1078" s="64">
        <f t="shared" si="135"/>
        <v>0</v>
      </c>
      <c r="H1078" s="64">
        <f t="shared" si="136"/>
        <v>0</v>
      </c>
    </row>
    <row r="1079" spans="2:8" hidden="1" outlineLevel="2" x14ac:dyDescent="0.25">
      <c r="B1079" s="1" t="s">
        <v>234</v>
      </c>
      <c r="C1079" s="44">
        <v>6835.52</v>
      </c>
      <c r="E1079" s="50">
        <v>0</v>
      </c>
      <c r="F1079" s="50">
        <v>0</v>
      </c>
      <c r="G1079" s="64">
        <f t="shared" si="135"/>
        <v>0</v>
      </c>
      <c r="H1079" s="64">
        <f t="shared" si="136"/>
        <v>0</v>
      </c>
    </row>
    <row r="1080" spans="2:8" hidden="1" outlineLevel="2" x14ac:dyDescent="0.25">
      <c r="B1080" s="1" t="s">
        <v>236</v>
      </c>
      <c r="C1080" s="44">
        <v>4973.84</v>
      </c>
      <c r="E1080" s="50">
        <v>0</v>
      </c>
      <c r="F1080" s="50">
        <v>0</v>
      </c>
      <c r="G1080" s="64">
        <f t="shared" si="135"/>
        <v>0</v>
      </c>
      <c r="H1080" s="64">
        <f t="shared" si="136"/>
        <v>0</v>
      </c>
    </row>
    <row r="1081" spans="2:8" hidden="1" outlineLevel="2" x14ac:dyDescent="0.25">
      <c r="B1081" s="1" t="s">
        <v>237</v>
      </c>
      <c r="C1081" s="44">
        <v>7460.76</v>
      </c>
      <c r="E1081" s="50">
        <v>0</v>
      </c>
      <c r="F1081" s="50">
        <v>0</v>
      </c>
      <c r="G1081" s="64">
        <f t="shared" si="135"/>
        <v>0</v>
      </c>
      <c r="H1081" s="64">
        <f t="shared" si="136"/>
        <v>0</v>
      </c>
    </row>
    <row r="1082" spans="2:8" hidden="1" outlineLevel="2" x14ac:dyDescent="0.25">
      <c r="B1082" s="1" t="s">
        <v>238</v>
      </c>
      <c r="C1082" s="44">
        <v>27397.71</v>
      </c>
      <c r="E1082" s="50">
        <v>0</v>
      </c>
      <c r="F1082" s="50">
        <v>0</v>
      </c>
      <c r="G1082" s="64">
        <f t="shared" si="135"/>
        <v>0</v>
      </c>
      <c r="H1082" s="64">
        <f t="shared" si="136"/>
        <v>0</v>
      </c>
    </row>
    <row r="1083" spans="2:8" hidden="1" outlineLevel="2" x14ac:dyDescent="0.25">
      <c r="B1083" s="1" t="s">
        <v>376</v>
      </c>
      <c r="C1083" s="44">
        <v>3461.84</v>
      </c>
      <c r="E1083" s="50">
        <v>0</v>
      </c>
      <c r="F1083" s="50">
        <v>0</v>
      </c>
      <c r="G1083" s="64">
        <f t="shared" si="135"/>
        <v>0</v>
      </c>
      <c r="H1083" s="64">
        <f t="shared" si="136"/>
        <v>0</v>
      </c>
    </row>
    <row r="1084" spans="2:8" hidden="1" outlineLevel="2" x14ac:dyDescent="0.25">
      <c r="B1084" s="1" t="s">
        <v>240</v>
      </c>
      <c r="C1084" s="44">
        <v>3911.4</v>
      </c>
      <c r="E1084" s="50">
        <v>0</v>
      </c>
      <c r="F1084" s="50">
        <v>0</v>
      </c>
      <c r="G1084" s="64">
        <f t="shared" si="135"/>
        <v>0</v>
      </c>
      <c r="H1084" s="64">
        <f t="shared" si="136"/>
        <v>0</v>
      </c>
    </row>
    <row r="1085" spans="2:8" hidden="1" outlineLevel="2" x14ac:dyDescent="0.25">
      <c r="B1085" s="1" t="s">
        <v>241</v>
      </c>
      <c r="C1085" s="44">
        <v>20762.55</v>
      </c>
      <c r="E1085" s="50">
        <v>0</v>
      </c>
      <c r="F1085" s="50">
        <v>0</v>
      </c>
      <c r="G1085" s="64">
        <f t="shared" si="135"/>
        <v>0</v>
      </c>
      <c r="H1085" s="64">
        <f t="shared" si="136"/>
        <v>0</v>
      </c>
    </row>
    <row r="1086" spans="2:8" hidden="1" outlineLevel="2" x14ac:dyDescent="0.25">
      <c r="B1086" s="1" t="s">
        <v>242</v>
      </c>
      <c r="C1086" s="44">
        <v>2863.8</v>
      </c>
      <c r="E1086" s="50">
        <v>0</v>
      </c>
      <c r="F1086" s="50">
        <v>0</v>
      </c>
      <c r="G1086" s="64">
        <f t="shared" si="135"/>
        <v>0</v>
      </c>
      <c r="H1086" s="64">
        <f t="shared" si="136"/>
        <v>0</v>
      </c>
    </row>
    <row r="1087" spans="2:8" hidden="1" outlineLevel="2" x14ac:dyDescent="0.25">
      <c r="B1087" s="1" t="s">
        <v>243</v>
      </c>
      <c r="C1087" s="44">
        <v>3432.1</v>
      </c>
      <c r="E1087" s="50">
        <v>0</v>
      </c>
      <c r="F1087" s="50">
        <v>0</v>
      </c>
      <c r="G1087" s="64">
        <f t="shared" si="135"/>
        <v>0</v>
      </c>
      <c r="H1087" s="64">
        <f t="shared" si="136"/>
        <v>0</v>
      </c>
    </row>
    <row r="1088" spans="2:8" hidden="1" outlineLevel="2" x14ac:dyDescent="0.25">
      <c r="B1088" s="1" t="s">
        <v>244</v>
      </c>
      <c r="C1088" s="44">
        <v>1908.96</v>
      </c>
      <c r="E1088" s="50">
        <v>0</v>
      </c>
      <c r="F1088" s="50">
        <v>0</v>
      </c>
      <c r="G1088" s="64">
        <f t="shared" si="135"/>
        <v>0</v>
      </c>
      <c r="H1088" s="64">
        <f t="shared" si="136"/>
        <v>0</v>
      </c>
    </row>
    <row r="1089" spans="2:8" hidden="1" outlineLevel="2" x14ac:dyDescent="0.25">
      <c r="B1089" s="1" t="s">
        <v>245</v>
      </c>
      <c r="C1089" s="44">
        <v>3674.2</v>
      </c>
      <c r="E1089" s="50">
        <v>0</v>
      </c>
      <c r="F1089" s="50">
        <v>0</v>
      </c>
      <c r="G1089" s="64">
        <f t="shared" si="135"/>
        <v>0</v>
      </c>
      <c r="H1089" s="64">
        <f t="shared" si="136"/>
        <v>0</v>
      </c>
    </row>
    <row r="1090" spans="2:8" outlineLevel="1" collapsed="1" x14ac:dyDescent="0.25">
      <c r="B1090" s="60" t="s">
        <v>247</v>
      </c>
      <c r="C1090" s="61">
        <v>60690.93</v>
      </c>
      <c r="E1090" s="62"/>
      <c r="F1090" s="62"/>
      <c r="G1090" s="63"/>
      <c r="H1090" s="63"/>
    </row>
    <row r="1091" spans="2:8" hidden="1" outlineLevel="2" x14ac:dyDescent="0.25">
      <c r="B1091" s="1" t="s">
        <v>377</v>
      </c>
      <c r="C1091" s="44">
        <v>5970.02</v>
      </c>
      <c r="E1091" s="50">
        <v>0</v>
      </c>
      <c r="F1091" s="50">
        <v>0</v>
      </c>
      <c r="G1091" s="64">
        <f t="shared" ref="G1091:G1120" si="137">+E1091*C1091</f>
        <v>0</v>
      </c>
      <c r="H1091" s="64">
        <f t="shared" ref="H1091:H1120" si="138">+F1091*C1091</f>
        <v>0</v>
      </c>
    </row>
    <row r="1092" spans="2:8" hidden="1" outlineLevel="2" x14ac:dyDescent="0.25">
      <c r="B1092" s="1" t="s">
        <v>378</v>
      </c>
      <c r="C1092" s="44">
        <v>3607.47</v>
      </c>
      <c r="E1092" s="50">
        <v>0</v>
      </c>
      <c r="F1092" s="50">
        <v>0</v>
      </c>
      <c r="G1092" s="64">
        <f t="shared" si="137"/>
        <v>0</v>
      </c>
      <c r="H1092" s="64">
        <f t="shared" si="138"/>
        <v>0</v>
      </c>
    </row>
    <row r="1093" spans="2:8" hidden="1" outlineLevel="2" x14ac:dyDescent="0.25">
      <c r="B1093" s="1" t="s">
        <v>379</v>
      </c>
      <c r="C1093" s="44">
        <v>7359.88</v>
      </c>
      <c r="E1093" s="50">
        <v>0</v>
      </c>
      <c r="F1093" s="50">
        <v>0</v>
      </c>
      <c r="G1093" s="64">
        <f t="shared" si="137"/>
        <v>0</v>
      </c>
      <c r="H1093" s="64">
        <f t="shared" si="138"/>
        <v>0</v>
      </c>
    </row>
    <row r="1094" spans="2:8" hidden="1" outlineLevel="2" x14ac:dyDescent="0.25">
      <c r="B1094" s="1" t="s">
        <v>249</v>
      </c>
      <c r="C1094" s="44">
        <v>1322.48</v>
      </c>
      <c r="E1094" s="50">
        <v>0</v>
      </c>
      <c r="F1094" s="50">
        <v>0</v>
      </c>
      <c r="G1094" s="64">
        <f t="shared" si="137"/>
        <v>0</v>
      </c>
      <c r="H1094" s="64">
        <f t="shared" si="138"/>
        <v>0</v>
      </c>
    </row>
    <row r="1095" spans="2:8" hidden="1" outlineLevel="2" x14ac:dyDescent="0.25">
      <c r="B1095" s="1" t="s">
        <v>250</v>
      </c>
      <c r="C1095" s="44">
        <v>786.65</v>
      </c>
      <c r="E1095" s="50">
        <v>0</v>
      </c>
      <c r="F1095" s="50">
        <v>0</v>
      </c>
      <c r="G1095" s="64">
        <f t="shared" si="137"/>
        <v>0</v>
      </c>
      <c r="H1095" s="64">
        <f t="shared" si="138"/>
        <v>0</v>
      </c>
    </row>
    <row r="1096" spans="2:8" hidden="1" outlineLevel="2" x14ac:dyDescent="0.25">
      <c r="B1096" s="1" t="s">
        <v>251</v>
      </c>
      <c r="C1096" s="44">
        <v>1545.82</v>
      </c>
      <c r="E1096" s="50">
        <v>0</v>
      </c>
      <c r="F1096" s="50">
        <v>0</v>
      </c>
      <c r="G1096" s="64">
        <f t="shared" si="137"/>
        <v>0</v>
      </c>
      <c r="H1096" s="64">
        <f t="shared" si="138"/>
        <v>0</v>
      </c>
    </row>
    <row r="1097" spans="2:8" hidden="1" outlineLevel="2" x14ac:dyDescent="0.25">
      <c r="B1097" s="1" t="s">
        <v>252</v>
      </c>
      <c r="C1097" s="44">
        <v>431.48</v>
      </c>
      <c r="E1097" s="50">
        <v>0</v>
      </c>
      <c r="F1097" s="50">
        <v>0</v>
      </c>
      <c r="G1097" s="64">
        <f t="shared" si="137"/>
        <v>0</v>
      </c>
      <c r="H1097" s="64">
        <f t="shared" si="138"/>
        <v>0</v>
      </c>
    </row>
    <row r="1098" spans="2:8" hidden="1" outlineLevel="2" x14ac:dyDescent="0.25">
      <c r="B1098" s="1" t="s">
        <v>253</v>
      </c>
      <c r="C1098" s="44">
        <v>4637.46</v>
      </c>
      <c r="E1098" s="50">
        <v>0</v>
      </c>
      <c r="F1098" s="50">
        <v>0</v>
      </c>
      <c r="G1098" s="64">
        <f t="shared" si="137"/>
        <v>0</v>
      </c>
      <c r="H1098" s="64">
        <f t="shared" si="138"/>
        <v>0</v>
      </c>
    </row>
    <row r="1099" spans="2:8" hidden="1" outlineLevel="2" x14ac:dyDescent="0.25">
      <c r="B1099" s="1" t="s">
        <v>254</v>
      </c>
      <c r="C1099" s="44">
        <v>0</v>
      </c>
      <c r="E1099" s="50">
        <v>0</v>
      </c>
      <c r="F1099" s="50">
        <v>0</v>
      </c>
      <c r="G1099" s="64">
        <f t="shared" si="137"/>
        <v>0</v>
      </c>
      <c r="H1099" s="64">
        <f t="shared" si="138"/>
        <v>0</v>
      </c>
    </row>
    <row r="1100" spans="2:8" hidden="1" outlineLevel="2" x14ac:dyDescent="0.25">
      <c r="B1100" s="1" t="s">
        <v>255</v>
      </c>
      <c r="C1100" s="44">
        <v>1865.46</v>
      </c>
      <c r="E1100" s="50">
        <v>0</v>
      </c>
      <c r="F1100" s="50">
        <v>0</v>
      </c>
      <c r="G1100" s="64">
        <f t="shared" si="137"/>
        <v>0</v>
      </c>
      <c r="H1100" s="64">
        <f t="shared" si="138"/>
        <v>0</v>
      </c>
    </row>
    <row r="1101" spans="2:8" hidden="1" outlineLevel="2" x14ac:dyDescent="0.25">
      <c r="B1101" s="1" t="s">
        <v>256</v>
      </c>
      <c r="C1101" s="44">
        <v>711.4</v>
      </c>
      <c r="E1101" s="50">
        <v>0</v>
      </c>
      <c r="F1101" s="50">
        <v>0</v>
      </c>
      <c r="G1101" s="64">
        <f t="shared" si="137"/>
        <v>0</v>
      </c>
      <c r="H1101" s="64">
        <f t="shared" si="138"/>
        <v>0</v>
      </c>
    </row>
    <row r="1102" spans="2:8" hidden="1" outlineLevel="2" x14ac:dyDescent="0.25">
      <c r="B1102" s="1" t="s">
        <v>257</v>
      </c>
      <c r="C1102" s="44">
        <v>564.32000000000005</v>
      </c>
      <c r="E1102" s="50">
        <v>0</v>
      </c>
      <c r="F1102" s="50">
        <v>0</v>
      </c>
      <c r="G1102" s="64">
        <f t="shared" si="137"/>
        <v>0</v>
      </c>
      <c r="H1102" s="64">
        <f t="shared" si="138"/>
        <v>0</v>
      </c>
    </row>
    <row r="1103" spans="2:8" hidden="1" outlineLevel="2" x14ac:dyDescent="0.25">
      <c r="B1103" s="1" t="s">
        <v>258</v>
      </c>
      <c r="C1103" s="44">
        <v>1422.8</v>
      </c>
      <c r="E1103" s="50">
        <v>0</v>
      </c>
      <c r="F1103" s="50">
        <v>0</v>
      </c>
      <c r="G1103" s="64">
        <f t="shared" si="137"/>
        <v>0</v>
      </c>
      <c r="H1103" s="64">
        <f t="shared" si="138"/>
        <v>0</v>
      </c>
    </row>
    <row r="1104" spans="2:8" hidden="1" outlineLevel="2" x14ac:dyDescent="0.25">
      <c r="B1104" s="1" t="s">
        <v>259</v>
      </c>
      <c r="C1104" s="44">
        <v>564.32000000000005</v>
      </c>
      <c r="E1104" s="50">
        <v>0</v>
      </c>
      <c r="F1104" s="50">
        <v>0</v>
      </c>
      <c r="G1104" s="64">
        <f t="shared" si="137"/>
        <v>0</v>
      </c>
      <c r="H1104" s="64">
        <f t="shared" si="138"/>
        <v>0</v>
      </c>
    </row>
    <row r="1105" spans="2:8" hidden="1" outlineLevel="2" x14ac:dyDescent="0.25">
      <c r="B1105" s="1" t="s">
        <v>260</v>
      </c>
      <c r="C1105" s="44">
        <v>2845.6</v>
      </c>
      <c r="E1105" s="50">
        <v>0</v>
      </c>
      <c r="F1105" s="50">
        <v>0</v>
      </c>
      <c r="G1105" s="64">
        <f t="shared" si="137"/>
        <v>0</v>
      </c>
      <c r="H1105" s="64">
        <f t="shared" si="138"/>
        <v>0</v>
      </c>
    </row>
    <row r="1106" spans="2:8" hidden="1" outlineLevel="2" x14ac:dyDescent="0.25">
      <c r="B1106" s="1" t="s">
        <v>261</v>
      </c>
      <c r="C1106" s="44">
        <v>1185</v>
      </c>
      <c r="E1106" s="50">
        <v>0</v>
      </c>
      <c r="F1106" s="50">
        <v>0</v>
      </c>
      <c r="G1106" s="64">
        <f t="shared" si="137"/>
        <v>0</v>
      </c>
      <c r="H1106" s="64">
        <f t="shared" si="138"/>
        <v>0</v>
      </c>
    </row>
    <row r="1107" spans="2:8" hidden="1" outlineLevel="2" x14ac:dyDescent="0.25">
      <c r="B1107" s="1" t="s">
        <v>262</v>
      </c>
      <c r="C1107" s="44">
        <v>1765.02</v>
      </c>
      <c r="E1107" s="50">
        <v>0</v>
      </c>
      <c r="F1107" s="50">
        <v>0</v>
      </c>
      <c r="G1107" s="64">
        <f t="shared" si="137"/>
        <v>0</v>
      </c>
      <c r="H1107" s="64">
        <f t="shared" si="138"/>
        <v>0</v>
      </c>
    </row>
    <row r="1108" spans="2:8" hidden="1" outlineLevel="2" x14ac:dyDescent="0.25">
      <c r="B1108" s="1" t="s">
        <v>263</v>
      </c>
      <c r="C1108" s="44">
        <v>2271.96</v>
      </c>
      <c r="E1108" s="50">
        <v>0</v>
      </c>
      <c r="F1108" s="50">
        <v>0</v>
      </c>
      <c r="G1108" s="64">
        <f t="shared" si="137"/>
        <v>0</v>
      </c>
      <c r="H1108" s="64">
        <f t="shared" si="138"/>
        <v>0</v>
      </c>
    </row>
    <row r="1109" spans="2:8" hidden="1" outlineLevel="2" x14ac:dyDescent="0.25">
      <c r="B1109" s="1" t="s">
        <v>264</v>
      </c>
      <c r="C1109" s="44">
        <v>1176.68</v>
      </c>
      <c r="E1109" s="50">
        <v>0</v>
      </c>
      <c r="F1109" s="50">
        <v>0</v>
      </c>
      <c r="G1109" s="64">
        <f t="shared" si="137"/>
        <v>0</v>
      </c>
      <c r="H1109" s="64">
        <f t="shared" si="138"/>
        <v>0</v>
      </c>
    </row>
    <row r="1110" spans="2:8" hidden="1" outlineLevel="2" x14ac:dyDescent="0.25">
      <c r="B1110" s="1" t="s">
        <v>265</v>
      </c>
      <c r="C1110" s="44">
        <v>592.5</v>
      </c>
      <c r="E1110" s="50">
        <v>0</v>
      </c>
      <c r="F1110" s="50">
        <v>0</v>
      </c>
      <c r="G1110" s="64">
        <f t="shared" si="137"/>
        <v>0</v>
      </c>
      <c r="H1110" s="64">
        <f t="shared" si="138"/>
        <v>0</v>
      </c>
    </row>
    <row r="1111" spans="2:8" hidden="1" outlineLevel="2" x14ac:dyDescent="0.25">
      <c r="B1111" s="1" t="s">
        <v>266</v>
      </c>
      <c r="C1111" s="44">
        <v>4417.83</v>
      </c>
      <c r="E1111" s="50">
        <v>0</v>
      </c>
      <c r="F1111" s="50">
        <v>0</v>
      </c>
      <c r="G1111" s="64">
        <f t="shared" si="137"/>
        <v>0</v>
      </c>
      <c r="H1111" s="64">
        <f t="shared" si="138"/>
        <v>0</v>
      </c>
    </row>
    <row r="1112" spans="2:8" hidden="1" outlineLevel="2" x14ac:dyDescent="0.25">
      <c r="B1112" s="1" t="s">
        <v>267</v>
      </c>
      <c r="C1112" s="44">
        <v>2656.08</v>
      </c>
      <c r="E1112" s="50">
        <v>0</v>
      </c>
      <c r="F1112" s="50">
        <v>0</v>
      </c>
      <c r="G1112" s="64">
        <f t="shared" si="137"/>
        <v>0</v>
      </c>
      <c r="H1112" s="64">
        <f t="shared" si="138"/>
        <v>0</v>
      </c>
    </row>
    <row r="1113" spans="2:8" hidden="1" outlineLevel="2" x14ac:dyDescent="0.25">
      <c r="B1113" s="1" t="s">
        <v>268</v>
      </c>
      <c r="C1113" s="44">
        <v>5226.34</v>
      </c>
      <c r="E1113" s="50">
        <v>0</v>
      </c>
      <c r="F1113" s="50">
        <v>0</v>
      </c>
      <c r="G1113" s="64">
        <f t="shared" si="137"/>
        <v>0</v>
      </c>
      <c r="H1113" s="64">
        <f t="shared" si="138"/>
        <v>0</v>
      </c>
    </row>
    <row r="1114" spans="2:8" hidden="1" outlineLevel="2" x14ac:dyDescent="0.25">
      <c r="B1114" s="1" t="s">
        <v>380</v>
      </c>
      <c r="C1114" s="44">
        <v>1306.58</v>
      </c>
      <c r="E1114" s="50">
        <v>0</v>
      </c>
      <c r="F1114" s="50">
        <v>0</v>
      </c>
      <c r="G1114" s="64">
        <f t="shared" si="137"/>
        <v>0</v>
      </c>
      <c r="H1114" s="64">
        <f t="shared" si="138"/>
        <v>0</v>
      </c>
    </row>
    <row r="1115" spans="2:8" hidden="1" outlineLevel="2" x14ac:dyDescent="0.25">
      <c r="B1115" s="1" t="s">
        <v>381</v>
      </c>
      <c r="C1115" s="44">
        <v>287.5</v>
      </c>
      <c r="E1115" s="50">
        <v>0</v>
      </c>
      <c r="F1115" s="50">
        <v>0</v>
      </c>
      <c r="G1115" s="64">
        <f t="shared" si="137"/>
        <v>0</v>
      </c>
      <c r="H1115" s="64">
        <f t="shared" si="138"/>
        <v>0</v>
      </c>
    </row>
    <row r="1116" spans="2:8" hidden="1" outlineLevel="2" x14ac:dyDescent="0.25">
      <c r="B1116" s="1" t="s">
        <v>382</v>
      </c>
      <c r="C1116" s="44">
        <v>287.5</v>
      </c>
      <c r="E1116" s="50">
        <v>0</v>
      </c>
      <c r="F1116" s="50">
        <v>0</v>
      </c>
      <c r="G1116" s="64">
        <f t="shared" si="137"/>
        <v>0</v>
      </c>
      <c r="H1116" s="64">
        <f t="shared" si="138"/>
        <v>0</v>
      </c>
    </row>
    <row r="1117" spans="2:8" hidden="1" outlineLevel="2" x14ac:dyDescent="0.25">
      <c r="B1117" s="1" t="s">
        <v>383</v>
      </c>
      <c r="C1117" s="44">
        <v>2157.4</v>
      </c>
      <c r="E1117" s="50">
        <v>0</v>
      </c>
      <c r="F1117" s="50">
        <v>0</v>
      </c>
      <c r="G1117" s="64">
        <f t="shared" si="137"/>
        <v>0</v>
      </c>
      <c r="H1117" s="64">
        <f t="shared" si="138"/>
        <v>0</v>
      </c>
    </row>
    <row r="1118" spans="2:8" hidden="1" outlineLevel="2" x14ac:dyDescent="0.25">
      <c r="B1118" s="1" t="s">
        <v>384</v>
      </c>
      <c r="C1118" s="44">
        <v>2318.73</v>
      </c>
      <c r="E1118" s="50">
        <v>0</v>
      </c>
      <c r="F1118" s="50">
        <v>0</v>
      </c>
      <c r="G1118" s="64">
        <f t="shared" si="137"/>
        <v>0</v>
      </c>
      <c r="H1118" s="64">
        <f t="shared" si="138"/>
        <v>0</v>
      </c>
    </row>
    <row r="1119" spans="2:8" hidden="1" outlineLevel="2" x14ac:dyDescent="0.25">
      <c r="B1119" s="1" t="s">
        <v>269</v>
      </c>
      <c r="C1119" s="44">
        <v>663.84</v>
      </c>
      <c r="E1119" s="50">
        <v>0</v>
      </c>
      <c r="F1119" s="50">
        <v>0</v>
      </c>
      <c r="G1119" s="64">
        <f t="shared" si="137"/>
        <v>0</v>
      </c>
      <c r="H1119" s="64">
        <f t="shared" si="138"/>
        <v>0</v>
      </c>
    </row>
    <row r="1120" spans="2:8" hidden="1" outlineLevel="2" x14ac:dyDescent="0.25">
      <c r="B1120" s="1" t="s">
        <v>270</v>
      </c>
      <c r="C1120" s="44">
        <v>742.81</v>
      </c>
      <c r="E1120" s="50">
        <v>0</v>
      </c>
      <c r="F1120" s="50">
        <v>0</v>
      </c>
      <c r="G1120" s="64">
        <f t="shared" si="137"/>
        <v>0</v>
      </c>
      <c r="H1120" s="64">
        <f t="shared" si="138"/>
        <v>0</v>
      </c>
    </row>
    <row r="1121" spans="2:8" outlineLevel="1" collapsed="1" x14ac:dyDescent="0.25">
      <c r="B1121" s="60" t="s">
        <v>271</v>
      </c>
      <c r="C1121" s="61">
        <v>12289.42</v>
      </c>
      <c r="E1121" s="62">
        <f>+G1121/C1121</f>
        <v>0</v>
      </c>
      <c r="F1121" s="62">
        <f>+H1121/C1121</f>
        <v>1</v>
      </c>
      <c r="G1121" s="63">
        <f>+G1122+G1123</f>
        <v>0</v>
      </c>
      <c r="H1121" s="63">
        <f>+H1122+H1123</f>
        <v>12289.42</v>
      </c>
    </row>
    <row r="1122" spans="2:8" hidden="1" outlineLevel="2" x14ac:dyDescent="0.25">
      <c r="B1122" s="1" t="s">
        <v>272</v>
      </c>
      <c r="C1122" s="44">
        <v>11607.8</v>
      </c>
      <c r="E1122" s="50">
        <v>0</v>
      </c>
      <c r="F1122" s="50">
        <v>1</v>
      </c>
      <c r="G1122" s="64">
        <f>+E1122*C1122</f>
        <v>0</v>
      </c>
      <c r="H1122" s="64">
        <f>+F1122*C1122</f>
        <v>11607.8</v>
      </c>
    </row>
    <row r="1123" spans="2:8" hidden="1" outlineLevel="2" x14ac:dyDescent="0.25">
      <c r="B1123" s="1" t="s">
        <v>81</v>
      </c>
      <c r="C1123" s="44">
        <v>681.62</v>
      </c>
      <c r="E1123" s="50">
        <v>0</v>
      </c>
      <c r="F1123" s="50">
        <v>1</v>
      </c>
      <c r="G1123" s="64">
        <f>+E1123*C1123</f>
        <v>0</v>
      </c>
      <c r="H1123" s="64">
        <f>+F1123*C1123</f>
        <v>681.62</v>
      </c>
    </row>
    <row r="1124" spans="2:8" outlineLevel="1" collapsed="1" x14ac:dyDescent="0.25">
      <c r="B1124" s="60" t="s">
        <v>273</v>
      </c>
      <c r="C1124" s="61">
        <v>47416.79</v>
      </c>
      <c r="E1124" s="62"/>
      <c r="F1124" s="62"/>
      <c r="G1124" s="63"/>
      <c r="H1124" s="63"/>
    </row>
    <row r="1125" spans="2:8" hidden="1" outlineLevel="2" x14ac:dyDescent="0.25">
      <c r="B1125" s="1" t="s">
        <v>385</v>
      </c>
      <c r="C1125" s="44">
        <v>13692.87</v>
      </c>
      <c r="E1125" s="50">
        <v>0</v>
      </c>
      <c r="F1125" s="50">
        <v>0</v>
      </c>
      <c r="G1125" s="64">
        <f t="shared" ref="G1125:G1133" si="139">+E1125*C1125</f>
        <v>0</v>
      </c>
      <c r="H1125" s="64">
        <f t="shared" ref="H1125:H1133" si="140">+F1125*C1125</f>
        <v>0</v>
      </c>
    </row>
    <row r="1126" spans="2:8" hidden="1" outlineLevel="2" x14ac:dyDescent="0.25">
      <c r="B1126" s="1" t="s">
        <v>386</v>
      </c>
      <c r="C1126" s="44">
        <v>1447.83</v>
      </c>
      <c r="E1126" s="50">
        <v>0</v>
      </c>
      <c r="F1126" s="50">
        <v>0</v>
      </c>
      <c r="G1126" s="64">
        <f t="shared" si="139"/>
        <v>0</v>
      </c>
      <c r="H1126" s="64">
        <f t="shared" si="140"/>
        <v>0</v>
      </c>
    </row>
    <row r="1127" spans="2:8" hidden="1" outlineLevel="2" x14ac:dyDescent="0.25">
      <c r="B1127" s="1" t="s">
        <v>387</v>
      </c>
      <c r="C1127" s="44">
        <v>7359.9</v>
      </c>
      <c r="E1127" s="50">
        <v>0</v>
      </c>
      <c r="F1127" s="50">
        <v>0</v>
      </c>
      <c r="G1127" s="64">
        <f t="shared" si="139"/>
        <v>0</v>
      </c>
      <c r="H1127" s="64">
        <f t="shared" si="140"/>
        <v>0</v>
      </c>
    </row>
    <row r="1128" spans="2:8" hidden="1" outlineLevel="2" x14ac:dyDescent="0.25">
      <c r="B1128" s="1" t="s">
        <v>388</v>
      </c>
      <c r="C1128" s="44">
        <v>5979.92</v>
      </c>
      <c r="E1128" s="50">
        <v>0</v>
      </c>
      <c r="F1128" s="50">
        <v>0</v>
      </c>
      <c r="G1128" s="64">
        <f t="shared" si="139"/>
        <v>0</v>
      </c>
      <c r="H1128" s="64">
        <f t="shared" si="140"/>
        <v>0</v>
      </c>
    </row>
    <row r="1129" spans="2:8" hidden="1" outlineLevel="2" x14ac:dyDescent="0.25">
      <c r="B1129" s="1" t="s">
        <v>389</v>
      </c>
      <c r="C1129" s="44">
        <v>3255.54</v>
      </c>
      <c r="E1129" s="50">
        <v>0</v>
      </c>
      <c r="F1129" s="50">
        <v>0</v>
      </c>
      <c r="G1129" s="64">
        <f t="shared" si="139"/>
        <v>0</v>
      </c>
      <c r="H1129" s="64">
        <f t="shared" si="140"/>
        <v>0</v>
      </c>
    </row>
    <row r="1130" spans="2:8" hidden="1" outlineLevel="2" x14ac:dyDescent="0.25">
      <c r="B1130" s="1" t="s">
        <v>390</v>
      </c>
      <c r="C1130" s="44">
        <v>4242.66</v>
      </c>
      <c r="E1130" s="50">
        <v>0</v>
      </c>
      <c r="F1130" s="50">
        <v>0</v>
      </c>
      <c r="G1130" s="64">
        <f t="shared" si="139"/>
        <v>0</v>
      </c>
      <c r="H1130" s="64">
        <f t="shared" si="140"/>
        <v>0</v>
      </c>
    </row>
    <row r="1131" spans="2:8" hidden="1" outlineLevel="2" x14ac:dyDescent="0.25">
      <c r="B1131" s="1" t="s">
        <v>391</v>
      </c>
      <c r="C1131" s="44">
        <v>5242.8599999999997</v>
      </c>
      <c r="E1131" s="50">
        <v>0</v>
      </c>
      <c r="F1131" s="50">
        <v>0</v>
      </c>
      <c r="G1131" s="64">
        <f t="shared" si="139"/>
        <v>0</v>
      </c>
      <c r="H1131" s="64">
        <f t="shared" si="140"/>
        <v>0</v>
      </c>
    </row>
    <row r="1132" spans="2:8" hidden="1" outlineLevel="2" x14ac:dyDescent="0.25">
      <c r="B1132" s="1" t="s">
        <v>392</v>
      </c>
      <c r="C1132" s="44">
        <v>4950.6899999999996</v>
      </c>
      <c r="E1132" s="50">
        <v>0</v>
      </c>
      <c r="F1132" s="50">
        <v>0</v>
      </c>
      <c r="G1132" s="64">
        <f t="shared" si="139"/>
        <v>0</v>
      </c>
      <c r="H1132" s="64">
        <f t="shared" si="140"/>
        <v>0</v>
      </c>
    </row>
    <row r="1133" spans="2:8" hidden="1" outlineLevel="2" x14ac:dyDescent="0.25">
      <c r="B1133" s="1" t="s">
        <v>393</v>
      </c>
      <c r="C1133" s="44">
        <v>1244.52</v>
      </c>
      <c r="E1133" s="50">
        <v>0</v>
      </c>
      <c r="F1133" s="50">
        <v>0</v>
      </c>
      <c r="G1133" s="64">
        <f t="shared" si="139"/>
        <v>0</v>
      </c>
      <c r="H1133" s="64">
        <f t="shared" si="140"/>
        <v>0</v>
      </c>
    </row>
    <row r="1134" spans="2:8" outlineLevel="1" collapsed="1" x14ac:dyDescent="0.25">
      <c r="B1134" s="60" t="s">
        <v>282</v>
      </c>
      <c r="C1134" s="61">
        <v>34791.15</v>
      </c>
      <c r="E1134" s="62"/>
      <c r="F1134" s="62"/>
      <c r="G1134" s="63"/>
      <c r="H1134" s="63"/>
    </row>
    <row r="1135" spans="2:8" hidden="1" outlineLevel="2" x14ac:dyDescent="0.25">
      <c r="B1135" s="1" t="s">
        <v>283</v>
      </c>
      <c r="C1135" s="44">
        <v>1197.02</v>
      </c>
      <c r="E1135" s="50">
        <v>0</v>
      </c>
      <c r="F1135" s="50">
        <v>0</v>
      </c>
      <c r="G1135" s="64">
        <f t="shared" ref="G1135:G1140" si="141">+E1135*C1135</f>
        <v>0</v>
      </c>
      <c r="H1135" s="64">
        <f t="shared" ref="H1135:H1140" si="142">+F1135*C1135</f>
        <v>0</v>
      </c>
    </row>
    <row r="1136" spans="2:8" hidden="1" outlineLevel="2" x14ac:dyDescent="0.25">
      <c r="B1136" s="1" t="s">
        <v>284</v>
      </c>
      <c r="C1136" s="44">
        <v>1437.48</v>
      </c>
      <c r="E1136" s="50">
        <v>0</v>
      </c>
      <c r="F1136" s="50">
        <v>0</v>
      </c>
      <c r="G1136" s="64">
        <f t="shared" si="141"/>
        <v>0</v>
      </c>
      <c r="H1136" s="64">
        <f t="shared" si="142"/>
        <v>0</v>
      </c>
    </row>
    <row r="1137" spans="2:8" hidden="1" outlineLevel="2" x14ac:dyDescent="0.25">
      <c r="B1137" s="1" t="s">
        <v>285</v>
      </c>
      <c r="C1137" s="44">
        <v>431.24</v>
      </c>
      <c r="E1137" s="50">
        <v>0</v>
      </c>
      <c r="F1137" s="50">
        <v>0</v>
      </c>
      <c r="G1137" s="64">
        <f t="shared" si="141"/>
        <v>0</v>
      </c>
      <c r="H1137" s="64">
        <f t="shared" si="142"/>
        <v>0</v>
      </c>
    </row>
    <row r="1138" spans="2:8" hidden="1" outlineLevel="2" x14ac:dyDescent="0.25">
      <c r="B1138" s="1" t="s">
        <v>286</v>
      </c>
      <c r="C1138" s="44">
        <v>7647.39</v>
      </c>
      <c r="E1138" s="50">
        <v>0</v>
      </c>
      <c r="F1138" s="50">
        <v>0</v>
      </c>
      <c r="G1138" s="64">
        <f t="shared" si="141"/>
        <v>0</v>
      </c>
      <c r="H1138" s="64">
        <f t="shared" si="142"/>
        <v>0</v>
      </c>
    </row>
    <row r="1139" spans="2:8" hidden="1" outlineLevel="2" x14ac:dyDescent="0.25">
      <c r="B1139" s="1" t="s">
        <v>287</v>
      </c>
      <c r="C1139" s="44">
        <v>10349.86</v>
      </c>
      <c r="E1139" s="50">
        <v>0</v>
      </c>
      <c r="F1139" s="50">
        <v>0</v>
      </c>
      <c r="G1139" s="64">
        <f t="shared" si="141"/>
        <v>0</v>
      </c>
      <c r="H1139" s="64">
        <f t="shared" si="142"/>
        <v>0</v>
      </c>
    </row>
    <row r="1140" spans="2:8" hidden="1" outlineLevel="2" x14ac:dyDescent="0.25">
      <c r="B1140" s="1" t="s">
        <v>288</v>
      </c>
      <c r="C1140" s="44">
        <v>13728.16</v>
      </c>
      <c r="E1140" s="50">
        <v>0</v>
      </c>
      <c r="F1140" s="50">
        <v>0</v>
      </c>
      <c r="G1140" s="64">
        <f t="shared" si="141"/>
        <v>0</v>
      </c>
      <c r="H1140" s="64">
        <f t="shared" si="142"/>
        <v>0</v>
      </c>
    </row>
    <row r="1141" spans="2:8" outlineLevel="1" collapsed="1" x14ac:dyDescent="0.25">
      <c r="B1141" s="60" t="s">
        <v>289</v>
      </c>
      <c r="C1141" s="61">
        <v>45313.31</v>
      </c>
      <c r="E1141" s="62"/>
      <c r="F1141" s="62"/>
      <c r="G1141" s="63"/>
      <c r="H1141" s="63"/>
    </row>
    <row r="1142" spans="2:8" hidden="1" outlineLevel="2" x14ac:dyDescent="0.25">
      <c r="B1142" s="1" t="s">
        <v>394</v>
      </c>
      <c r="C1142" s="44">
        <v>1472.5</v>
      </c>
      <c r="E1142" s="50">
        <v>0</v>
      </c>
      <c r="F1142" s="50">
        <v>0</v>
      </c>
      <c r="G1142" s="64">
        <f t="shared" ref="G1142:G1149" si="143">+E1142*C1142</f>
        <v>0</v>
      </c>
      <c r="H1142" s="64">
        <f t="shared" ref="H1142:H1149" si="144">+F1142*C1142</f>
        <v>0</v>
      </c>
    </row>
    <row r="1143" spans="2:8" hidden="1" outlineLevel="2" x14ac:dyDescent="0.25">
      <c r="B1143" s="1" t="s">
        <v>395</v>
      </c>
      <c r="C1143" s="44">
        <v>3219.96</v>
      </c>
      <c r="E1143" s="50">
        <v>0</v>
      </c>
      <c r="F1143" s="50">
        <v>0</v>
      </c>
      <c r="G1143" s="64">
        <f t="shared" si="143"/>
        <v>0</v>
      </c>
      <c r="H1143" s="64">
        <f t="shared" si="144"/>
        <v>0</v>
      </c>
    </row>
    <row r="1144" spans="2:8" hidden="1" outlineLevel="2" x14ac:dyDescent="0.25">
      <c r="B1144" s="1" t="s">
        <v>396</v>
      </c>
      <c r="C1144" s="44">
        <v>9168.7800000000007</v>
      </c>
      <c r="E1144" s="50">
        <v>0</v>
      </c>
      <c r="F1144" s="50">
        <v>0</v>
      </c>
      <c r="G1144" s="64">
        <f t="shared" si="143"/>
        <v>0</v>
      </c>
      <c r="H1144" s="64">
        <f t="shared" si="144"/>
        <v>0</v>
      </c>
    </row>
    <row r="1145" spans="2:8" hidden="1" outlineLevel="2" x14ac:dyDescent="0.25">
      <c r="B1145" s="1" t="s">
        <v>397</v>
      </c>
      <c r="C1145" s="44">
        <v>3104.94</v>
      </c>
      <c r="E1145" s="50">
        <v>0</v>
      </c>
      <c r="F1145" s="50">
        <v>0</v>
      </c>
      <c r="G1145" s="64">
        <f t="shared" si="143"/>
        <v>0</v>
      </c>
      <c r="H1145" s="64">
        <f t="shared" si="144"/>
        <v>0</v>
      </c>
    </row>
    <row r="1146" spans="2:8" hidden="1" outlineLevel="2" x14ac:dyDescent="0.25">
      <c r="B1146" s="1" t="s">
        <v>398</v>
      </c>
      <c r="C1146" s="44">
        <v>19319.759999999998</v>
      </c>
      <c r="E1146" s="50">
        <v>0</v>
      </c>
      <c r="F1146" s="50">
        <v>0</v>
      </c>
      <c r="G1146" s="64">
        <f t="shared" si="143"/>
        <v>0</v>
      </c>
      <c r="H1146" s="64">
        <f t="shared" si="144"/>
        <v>0</v>
      </c>
    </row>
    <row r="1147" spans="2:8" hidden="1" outlineLevel="2" x14ac:dyDescent="0.25">
      <c r="B1147" s="1" t="s">
        <v>399</v>
      </c>
      <c r="C1147" s="44">
        <v>7129.92</v>
      </c>
      <c r="E1147" s="50">
        <v>0</v>
      </c>
      <c r="F1147" s="50">
        <v>0</v>
      </c>
      <c r="G1147" s="64">
        <f t="shared" si="143"/>
        <v>0</v>
      </c>
      <c r="H1147" s="64">
        <f t="shared" si="144"/>
        <v>0</v>
      </c>
    </row>
    <row r="1148" spans="2:8" hidden="1" outlineLevel="2" x14ac:dyDescent="0.25">
      <c r="B1148" s="1" t="s">
        <v>400</v>
      </c>
      <c r="C1148" s="44">
        <v>0</v>
      </c>
      <c r="E1148" s="50">
        <v>0</v>
      </c>
      <c r="F1148" s="50">
        <v>0</v>
      </c>
      <c r="G1148" s="64">
        <f t="shared" si="143"/>
        <v>0</v>
      </c>
      <c r="H1148" s="64">
        <f t="shared" si="144"/>
        <v>0</v>
      </c>
    </row>
    <row r="1149" spans="2:8" hidden="1" outlineLevel="2" x14ac:dyDescent="0.25">
      <c r="B1149" s="1" t="s">
        <v>401</v>
      </c>
      <c r="C1149" s="44">
        <v>1897.45</v>
      </c>
      <c r="E1149" s="50">
        <v>0</v>
      </c>
      <c r="F1149" s="50">
        <v>0</v>
      </c>
      <c r="G1149" s="64">
        <f t="shared" si="143"/>
        <v>0</v>
      </c>
      <c r="H1149" s="64">
        <f t="shared" si="144"/>
        <v>0</v>
      </c>
    </row>
    <row r="1150" spans="2:8" outlineLevel="1" collapsed="1" x14ac:dyDescent="0.25">
      <c r="B1150" s="60" t="s">
        <v>402</v>
      </c>
      <c r="C1150" s="61">
        <v>861.34</v>
      </c>
      <c r="E1150" s="62"/>
      <c r="F1150" s="62"/>
      <c r="G1150" s="63"/>
      <c r="H1150" s="63"/>
    </row>
    <row r="1151" spans="2:8" hidden="1" outlineLevel="2" x14ac:dyDescent="0.25">
      <c r="B1151" s="1" t="s">
        <v>403</v>
      </c>
      <c r="C1151" s="44">
        <v>861.34</v>
      </c>
      <c r="E1151" s="50">
        <v>0</v>
      </c>
      <c r="F1151" s="50">
        <v>0</v>
      </c>
      <c r="G1151" s="64">
        <f>+E1151*C1151</f>
        <v>0</v>
      </c>
      <c r="H1151" s="64">
        <f>+F1151*C1151</f>
        <v>0</v>
      </c>
    </row>
    <row r="1152" spans="2:8" outlineLevel="1" collapsed="1" x14ac:dyDescent="0.25">
      <c r="B1152" s="60" t="s">
        <v>297</v>
      </c>
      <c r="C1152" s="61">
        <v>24252.36</v>
      </c>
      <c r="E1152" s="62"/>
      <c r="F1152" s="62"/>
      <c r="G1152" s="63"/>
      <c r="H1152" s="63"/>
    </row>
    <row r="1153" spans="2:10" hidden="1" outlineLevel="2" x14ac:dyDescent="0.25">
      <c r="B1153" s="1" t="s">
        <v>246</v>
      </c>
      <c r="C1153" s="44">
        <v>9859.86</v>
      </c>
      <c r="E1153" s="50">
        <v>0</v>
      </c>
      <c r="F1153" s="50">
        <v>0</v>
      </c>
      <c r="G1153" s="64">
        <f>+E1153*C1153</f>
        <v>0</v>
      </c>
      <c r="H1153" s="64">
        <f>+F1153*C1153</f>
        <v>0</v>
      </c>
    </row>
    <row r="1154" spans="2:10" hidden="1" outlineLevel="2" x14ac:dyDescent="0.25">
      <c r="B1154" s="1" t="s">
        <v>298</v>
      </c>
      <c r="C1154" s="44">
        <v>14392.5</v>
      </c>
      <c r="E1154" s="50">
        <v>0</v>
      </c>
      <c r="F1154" s="50">
        <v>0</v>
      </c>
      <c r="G1154" s="64">
        <f>+E1154*C1154</f>
        <v>0</v>
      </c>
      <c r="H1154" s="64">
        <f>+F1154*C1154</f>
        <v>0</v>
      </c>
    </row>
    <row r="1155" spans="2:10" outlineLevel="1" collapsed="1" x14ac:dyDescent="0.25">
      <c r="B1155" s="60" t="s">
        <v>293</v>
      </c>
      <c r="C1155" s="61">
        <v>21640</v>
      </c>
      <c r="E1155" s="62"/>
      <c r="F1155" s="62"/>
      <c r="G1155" s="63"/>
      <c r="H1155" s="63"/>
    </row>
    <row r="1156" spans="2:10" hidden="1" outlineLevel="2" x14ac:dyDescent="0.25">
      <c r="B1156" s="1" t="s">
        <v>294</v>
      </c>
      <c r="C1156" s="44">
        <v>14290.2</v>
      </c>
      <c r="E1156" s="50">
        <v>0</v>
      </c>
      <c r="F1156" s="50">
        <v>0</v>
      </c>
      <c r="G1156" s="64">
        <f>+E1156*C1156</f>
        <v>0</v>
      </c>
      <c r="H1156" s="64">
        <f>+F1156*C1156</f>
        <v>0</v>
      </c>
    </row>
    <row r="1157" spans="2:10" hidden="1" outlineLevel="2" x14ac:dyDescent="0.25">
      <c r="B1157" s="1" t="s">
        <v>295</v>
      </c>
      <c r="C1157" s="44">
        <v>5509.8</v>
      </c>
      <c r="E1157" s="50">
        <v>0</v>
      </c>
      <c r="F1157" s="50">
        <v>0</v>
      </c>
      <c r="G1157" s="64">
        <f>+E1157*C1157</f>
        <v>0</v>
      </c>
      <c r="H1157" s="64">
        <f>+F1157*C1157</f>
        <v>0</v>
      </c>
    </row>
    <row r="1158" spans="2:10" hidden="1" outlineLevel="2" x14ac:dyDescent="0.25">
      <c r="B1158" s="1" t="s">
        <v>296</v>
      </c>
      <c r="C1158" s="44">
        <v>1840</v>
      </c>
      <c r="E1158" s="50">
        <v>0</v>
      </c>
      <c r="F1158" s="50">
        <v>0</v>
      </c>
      <c r="G1158" s="64">
        <f>+E1158*C1158</f>
        <v>0</v>
      </c>
      <c r="H1158" s="64">
        <f>+F1158*C1158</f>
        <v>0</v>
      </c>
    </row>
    <row r="1159" spans="2:10" outlineLevel="1" collapsed="1" x14ac:dyDescent="0.25">
      <c r="C1159" s="44"/>
      <c r="G1159" s="64"/>
      <c r="H1159" s="64"/>
    </row>
    <row r="1160" spans="2:10" x14ac:dyDescent="0.25">
      <c r="B1160" s="45" t="s">
        <v>299</v>
      </c>
      <c r="C1160" s="46">
        <f>+C1161+C1163+C1166+C1192+C1207+C1209+C1235+C1249+C1268+C1277+C1280+C1283+C1310+C1319+C1327+C1344+C1346+C1349+C1360+C1366+C1375+C1390+C1421+C1424+C1434+C1441+C1450+C1452+C1455</f>
        <v>2435578.5999999996</v>
      </c>
      <c r="E1160" s="59">
        <f>+G1160/C1160</f>
        <v>7.9901913245583628E-2</v>
      </c>
      <c r="F1160" s="59">
        <f>+H1160/C1160</f>
        <v>6.1437970221942355E-2</v>
      </c>
      <c r="G1160" s="58">
        <f>+G1161+G1163+G1166+G1421+G1192</f>
        <v>194607.38999999998</v>
      </c>
      <c r="H1160" s="58">
        <f>+H1161+H1163+H1166+H1421+H1192</f>
        <v>149637.00550000003</v>
      </c>
      <c r="J1160" s="89">
        <f t="shared" ref="J1160" si="145">+F1160-E1160</f>
        <v>-1.8463943023641273E-2</v>
      </c>
    </row>
    <row r="1161" spans="2:10" outlineLevel="1" x14ac:dyDescent="0.25">
      <c r="B1161" s="60" t="s">
        <v>78</v>
      </c>
      <c r="C1161" s="61">
        <v>9070.2000000000007</v>
      </c>
      <c r="E1161" s="62">
        <f>+G1161/C1161</f>
        <v>1</v>
      </c>
      <c r="F1161" s="62">
        <f>+H1161/C1161</f>
        <v>1</v>
      </c>
      <c r="G1161" s="63">
        <f>+G1162</f>
        <v>9070.2000000000007</v>
      </c>
      <c r="H1161" s="63">
        <f>+H1162</f>
        <v>9070.2000000000007</v>
      </c>
    </row>
    <row r="1162" spans="2:10" hidden="1" outlineLevel="2" x14ac:dyDescent="0.25">
      <c r="B1162" s="1" t="s">
        <v>79</v>
      </c>
      <c r="C1162" s="44">
        <v>9070.2000000000007</v>
      </c>
      <c r="E1162" s="50">
        <v>1</v>
      </c>
      <c r="F1162" s="50">
        <v>1</v>
      </c>
      <c r="G1162" s="64">
        <f>+E1162*C1162</f>
        <v>9070.2000000000007</v>
      </c>
      <c r="H1162" s="64">
        <f>+F1162*C1162</f>
        <v>9070.2000000000007</v>
      </c>
    </row>
    <row r="1163" spans="2:10" outlineLevel="1" collapsed="1" x14ac:dyDescent="0.25">
      <c r="B1163" s="60" t="s">
        <v>80</v>
      </c>
      <c r="C1163" s="61">
        <v>1855.37</v>
      </c>
      <c r="E1163" s="62">
        <f>+G1163/C1163</f>
        <v>1</v>
      </c>
      <c r="F1163" s="62">
        <f>+H1163/C1163</f>
        <v>1</v>
      </c>
      <c r="G1163" s="63">
        <f>+G1164+G1165</f>
        <v>1855.37</v>
      </c>
      <c r="H1163" s="63">
        <f>+H1164+H1165</f>
        <v>1855.37</v>
      </c>
    </row>
    <row r="1164" spans="2:10" hidden="1" outlineLevel="2" x14ac:dyDescent="0.25">
      <c r="B1164" s="1" t="s">
        <v>81</v>
      </c>
      <c r="C1164" s="44">
        <v>1118.55</v>
      </c>
      <c r="E1164" s="50">
        <v>1</v>
      </c>
      <c r="F1164" s="50">
        <v>1</v>
      </c>
      <c r="G1164" s="51">
        <f>+E1164*C1164</f>
        <v>1118.55</v>
      </c>
      <c r="H1164" s="51">
        <f>+F1164*C1164</f>
        <v>1118.55</v>
      </c>
    </row>
    <row r="1165" spans="2:10" hidden="1" outlineLevel="2" x14ac:dyDescent="0.25">
      <c r="B1165" s="1" t="s">
        <v>82</v>
      </c>
      <c r="C1165" s="44">
        <v>736.82</v>
      </c>
      <c r="E1165" s="50">
        <v>1</v>
      </c>
      <c r="F1165" s="50">
        <v>1</v>
      </c>
      <c r="G1165" s="51">
        <f>+E1165*C1165</f>
        <v>736.82</v>
      </c>
      <c r="H1165" s="51">
        <f>+F1165*C1165</f>
        <v>736.82</v>
      </c>
    </row>
    <row r="1166" spans="2:10" outlineLevel="1" collapsed="1" x14ac:dyDescent="0.25">
      <c r="B1166" s="60" t="s">
        <v>83</v>
      </c>
      <c r="C1166" s="61">
        <v>183681.82</v>
      </c>
      <c r="E1166" s="62">
        <f>+G1166/C1166</f>
        <v>0.99999999999999989</v>
      </c>
      <c r="F1166" s="62">
        <f>+H1166/C1166</f>
        <v>0.64713769168881274</v>
      </c>
      <c r="G1166" s="63">
        <f>SUM(G1167:G1191)</f>
        <v>183681.81999999998</v>
      </c>
      <c r="H1166" s="63">
        <f>SUM(H1167:H1191)</f>
        <v>118867.429</v>
      </c>
    </row>
    <row r="1167" spans="2:10" hidden="1" outlineLevel="2" x14ac:dyDescent="0.25">
      <c r="B1167" s="1" t="s">
        <v>84</v>
      </c>
      <c r="C1167" s="44">
        <v>10207.56</v>
      </c>
      <c r="E1167" s="50">
        <v>1</v>
      </c>
      <c r="F1167" s="50">
        <v>1</v>
      </c>
      <c r="G1167" s="64">
        <f t="shared" ref="G1167:G1191" si="146">+E1167*C1167</f>
        <v>10207.56</v>
      </c>
      <c r="H1167" s="64">
        <f t="shared" ref="H1167:H1191" si="147">+F1167*C1167</f>
        <v>10207.56</v>
      </c>
    </row>
    <row r="1168" spans="2:10" hidden="1" outlineLevel="2" x14ac:dyDescent="0.25">
      <c r="B1168" s="1" t="s">
        <v>85</v>
      </c>
      <c r="C1168" s="44">
        <v>5045.08</v>
      </c>
      <c r="E1168" s="50">
        <v>1</v>
      </c>
      <c r="F1168" s="50">
        <v>1</v>
      </c>
      <c r="G1168" s="64">
        <f t="shared" si="146"/>
        <v>5045.08</v>
      </c>
      <c r="H1168" s="64">
        <f t="shared" si="147"/>
        <v>5045.08</v>
      </c>
    </row>
    <row r="1169" spans="2:8" hidden="1" outlineLevel="2" x14ac:dyDescent="0.25">
      <c r="B1169" s="1" t="s">
        <v>86</v>
      </c>
      <c r="C1169" s="44">
        <v>3100.09</v>
      </c>
      <c r="E1169" s="50">
        <v>1</v>
      </c>
      <c r="F1169" s="50">
        <v>1</v>
      </c>
      <c r="G1169" s="64">
        <f t="shared" si="146"/>
        <v>3100.09</v>
      </c>
      <c r="H1169" s="64">
        <f t="shared" si="147"/>
        <v>3100.09</v>
      </c>
    </row>
    <row r="1170" spans="2:8" hidden="1" outlineLevel="2" x14ac:dyDescent="0.25">
      <c r="B1170" s="1" t="s">
        <v>87</v>
      </c>
      <c r="C1170" s="44">
        <v>2653.92</v>
      </c>
      <c r="E1170" s="50">
        <v>1</v>
      </c>
      <c r="F1170" s="50">
        <v>1</v>
      </c>
      <c r="G1170" s="64">
        <f t="shared" si="146"/>
        <v>2653.92</v>
      </c>
      <c r="H1170" s="64">
        <f t="shared" si="147"/>
        <v>2653.92</v>
      </c>
    </row>
    <row r="1171" spans="2:8" hidden="1" outlineLevel="2" x14ac:dyDescent="0.25">
      <c r="B1171" s="1" t="s">
        <v>88</v>
      </c>
      <c r="C1171" s="44">
        <v>1452.12</v>
      </c>
      <c r="E1171" s="50">
        <v>1</v>
      </c>
      <c r="F1171" s="50">
        <v>1</v>
      </c>
      <c r="G1171" s="64">
        <f t="shared" si="146"/>
        <v>1452.12</v>
      </c>
      <c r="H1171" s="64">
        <f t="shared" si="147"/>
        <v>1452.12</v>
      </c>
    </row>
    <row r="1172" spans="2:8" hidden="1" outlineLevel="2" x14ac:dyDescent="0.25">
      <c r="B1172" s="1" t="s">
        <v>89</v>
      </c>
      <c r="C1172" s="44">
        <v>2404.85</v>
      </c>
      <c r="E1172" s="50">
        <v>1</v>
      </c>
      <c r="F1172" s="50">
        <v>1</v>
      </c>
      <c r="G1172" s="64">
        <f t="shared" si="146"/>
        <v>2404.85</v>
      </c>
      <c r="H1172" s="64">
        <f t="shared" si="147"/>
        <v>2404.85</v>
      </c>
    </row>
    <row r="1173" spans="2:8" hidden="1" outlineLevel="2" x14ac:dyDescent="0.25">
      <c r="B1173" s="1" t="s">
        <v>90</v>
      </c>
      <c r="C1173" s="44">
        <v>753.2</v>
      </c>
      <c r="E1173" s="50">
        <v>1</v>
      </c>
      <c r="F1173" s="50">
        <v>1</v>
      </c>
      <c r="G1173" s="64">
        <f t="shared" si="146"/>
        <v>753.2</v>
      </c>
      <c r="H1173" s="64">
        <f t="shared" si="147"/>
        <v>753.2</v>
      </c>
    </row>
    <row r="1174" spans="2:8" hidden="1" outlineLevel="2" x14ac:dyDescent="0.25">
      <c r="B1174" s="1" t="s">
        <v>91</v>
      </c>
      <c r="C1174" s="44">
        <v>753.2</v>
      </c>
      <c r="E1174" s="50">
        <v>1</v>
      </c>
      <c r="F1174" s="50">
        <v>1</v>
      </c>
      <c r="G1174" s="64">
        <f t="shared" si="146"/>
        <v>753.2</v>
      </c>
      <c r="H1174" s="64">
        <f t="shared" si="147"/>
        <v>753.2</v>
      </c>
    </row>
    <row r="1175" spans="2:8" hidden="1" outlineLevel="2" x14ac:dyDescent="0.25">
      <c r="B1175" s="1" t="s">
        <v>300</v>
      </c>
      <c r="C1175" s="44">
        <v>272.37</v>
      </c>
      <c r="E1175" s="50">
        <v>1</v>
      </c>
      <c r="F1175" s="50">
        <v>1</v>
      </c>
      <c r="G1175" s="64">
        <f t="shared" si="146"/>
        <v>272.37</v>
      </c>
      <c r="H1175" s="64">
        <f t="shared" si="147"/>
        <v>272.37</v>
      </c>
    </row>
    <row r="1176" spans="2:8" hidden="1" outlineLevel="2" x14ac:dyDescent="0.25">
      <c r="B1176" s="1" t="s">
        <v>92</v>
      </c>
      <c r="C1176" s="44">
        <v>371.75</v>
      </c>
      <c r="E1176" s="50">
        <v>1</v>
      </c>
      <c r="F1176" s="50">
        <v>1</v>
      </c>
      <c r="G1176" s="64">
        <f t="shared" si="146"/>
        <v>371.75</v>
      </c>
      <c r="H1176" s="64">
        <f t="shared" si="147"/>
        <v>371.75</v>
      </c>
    </row>
    <row r="1177" spans="2:8" hidden="1" outlineLevel="2" x14ac:dyDescent="0.25">
      <c r="B1177" s="1" t="s">
        <v>93</v>
      </c>
      <c r="C1177" s="44">
        <v>2465.0700000000002</v>
      </c>
      <c r="E1177" s="50">
        <v>1</v>
      </c>
      <c r="F1177" s="50">
        <v>1</v>
      </c>
      <c r="G1177" s="64">
        <f t="shared" si="146"/>
        <v>2465.0700000000002</v>
      </c>
      <c r="H1177" s="64">
        <f t="shared" si="147"/>
        <v>2465.0700000000002</v>
      </c>
    </row>
    <row r="1178" spans="2:8" hidden="1" outlineLevel="2" x14ac:dyDescent="0.25">
      <c r="B1178" s="1" t="s">
        <v>94</v>
      </c>
      <c r="C1178" s="44">
        <v>582.14</v>
      </c>
      <c r="E1178" s="50">
        <v>1</v>
      </c>
      <c r="F1178" s="50">
        <v>1</v>
      </c>
      <c r="G1178" s="64">
        <f t="shared" si="146"/>
        <v>582.14</v>
      </c>
      <c r="H1178" s="64">
        <f t="shared" si="147"/>
        <v>582.14</v>
      </c>
    </row>
    <row r="1179" spans="2:8" hidden="1" outlineLevel="2" x14ac:dyDescent="0.25">
      <c r="B1179" s="1" t="s">
        <v>95</v>
      </c>
      <c r="C1179" s="44">
        <v>574.99</v>
      </c>
      <c r="E1179" s="50">
        <v>1</v>
      </c>
      <c r="F1179" s="50">
        <v>1</v>
      </c>
      <c r="G1179" s="64">
        <f t="shared" si="146"/>
        <v>574.99</v>
      </c>
      <c r="H1179" s="64">
        <f t="shared" si="147"/>
        <v>574.99</v>
      </c>
    </row>
    <row r="1180" spans="2:8" hidden="1" outlineLevel="2" x14ac:dyDescent="0.25">
      <c r="B1180" s="1" t="s">
        <v>96</v>
      </c>
      <c r="C1180" s="44">
        <v>1659.62</v>
      </c>
      <c r="E1180" s="50">
        <v>1</v>
      </c>
      <c r="F1180" s="50">
        <v>1</v>
      </c>
      <c r="G1180" s="64">
        <f t="shared" si="146"/>
        <v>1659.62</v>
      </c>
      <c r="H1180" s="64">
        <f t="shared" si="147"/>
        <v>1659.62</v>
      </c>
    </row>
    <row r="1181" spans="2:8" hidden="1" outlineLevel="2" x14ac:dyDescent="0.25">
      <c r="B1181" s="1" t="s">
        <v>97</v>
      </c>
      <c r="C1181" s="44">
        <v>87.1</v>
      </c>
      <c r="E1181" s="50">
        <v>1</v>
      </c>
      <c r="F1181" s="50">
        <v>1</v>
      </c>
      <c r="G1181" s="64">
        <f t="shared" si="146"/>
        <v>87.1</v>
      </c>
      <c r="H1181" s="64">
        <f t="shared" si="147"/>
        <v>87.1</v>
      </c>
    </row>
    <row r="1182" spans="2:8" hidden="1" outlineLevel="2" x14ac:dyDescent="0.25">
      <c r="B1182" s="1" t="s">
        <v>98</v>
      </c>
      <c r="C1182" s="44">
        <v>574.99</v>
      </c>
      <c r="E1182" s="50">
        <v>1</v>
      </c>
      <c r="F1182" s="50">
        <v>1</v>
      </c>
      <c r="G1182" s="64">
        <f t="shared" si="146"/>
        <v>574.99</v>
      </c>
      <c r="H1182" s="64">
        <f t="shared" si="147"/>
        <v>574.99</v>
      </c>
    </row>
    <row r="1183" spans="2:8" hidden="1" outlineLevel="2" x14ac:dyDescent="0.25">
      <c r="B1183" s="1" t="s">
        <v>99</v>
      </c>
      <c r="C1183" s="44">
        <v>18766.14</v>
      </c>
      <c r="E1183" s="50">
        <v>1</v>
      </c>
      <c r="F1183" s="50">
        <v>0.9</v>
      </c>
      <c r="G1183" s="64">
        <f t="shared" si="146"/>
        <v>18766.14</v>
      </c>
      <c r="H1183" s="64">
        <f t="shared" si="147"/>
        <v>16889.526000000002</v>
      </c>
    </row>
    <row r="1184" spans="2:8" hidden="1" outlineLevel="2" x14ac:dyDescent="0.25">
      <c r="B1184" s="1" t="s">
        <v>100</v>
      </c>
      <c r="C1184" s="44">
        <v>11214.79</v>
      </c>
      <c r="E1184" s="50">
        <v>1</v>
      </c>
      <c r="F1184" s="50">
        <v>0.9</v>
      </c>
      <c r="G1184" s="64">
        <f t="shared" si="146"/>
        <v>11214.79</v>
      </c>
      <c r="H1184" s="64">
        <f t="shared" si="147"/>
        <v>10093.311000000002</v>
      </c>
    </row>
    <row r="1185" spans="2:8" hidden="1" outlineLevel="2" x14ac:dyDescent="0.25">
      <c r="B1185" s="1" t="s">
        <v>101</v>
      </c>
      <c r="C1185" s="44">
        <v>5062.1499999999996</v>
      </c>
      <c r="E1185" s="50">
        <v>1</v>
      </c>
      <c r="F1185" s="50">
        <v>0.5</v>
      </c>
      <c r="G1185" s="64">
        <f t="shared" si="146"/>
        <v>5062.1499999999996</v>
      </c>
      <c r="H1185" s="64">
        <f t="shared" si="147"/>
        <v>2531.0749999999998</v>
      </c>
    </row>
    <row r="1186" spans="2:8" hidden="1" outlineLevel="2" x14ac:dyDescent="0.25">
      <c r="B1186" s="1" t="s">
        <v>102</v>
      </c>
      <c r="C1186" s="44">
        <v>7598.06</v>
      </c>
      <c r="E1186" s="50">
        <v>1</v>
      </c>
      <c r="F1186" s="50">
        <v>0.9</v>
      </c>
      <c r="G1186" s="64">
        <f t="shared" si="146"/>
        <v>7598.06</v>
      </c>
      <c r="H1186" s="64">
        <f t="shared" si="147"/>
        <v>6838.2540000000008</v>
      </c>
    </row>
    <row r="1187" spans="2:8" hidden="1" outlineLevel="2" x14ac:dyDescent="0.25">
      <c r="B1187" s="1" t="s">
        <v>103</v>
      </c>
      <c r="C1187" s="44">
        <v>14734.01</v>
      </c>
      <c r="E1187" s="50">
        <v>1</v>
      </c>
      <c r="F1187" s="50">
        <v>0.9</v>
      </c>
      <c r="G1187" s="64">
        <f t="shared" si="146"/>
        <v>14734.01</v>
      </c>
      <c r="H1187" s="64">
        <f t="shared" si="147"/>
        <v>13260.609</v>
      </c>
    </row>
    <row r="1188" spans="2:8" hidden="1" outlineLevel="2" x14ac:dyDescent="0.25">
      <c r="B1188" s="1" t="s">
        <v>104</v>
      </c>
      <c r="C1188" s="44">
        <v>50517.75</v>
      </c>
      <c r="E1188" s="50">
        <v>1</v>
      </c>
      <c r="F1188" s="50">
        <v>0</v>
      </c>
      <c r="G1188" s="64">
        <f t="shared" si="146"/>
        <v>50517.75</v>
      </c>
      <c r="H1188" s="64">
        <f t="shared" si="147"/>
        <v>0</v>
      </c>
    </row>
    <row r="1189" spans="2:8" hidden="1" outlineLevel="2" x14ac:dyDescent="0.25">
      <c r="B1189" s="1" t="s">
        <v>105</v>
      </c>
      <c r="C1189" s="44">
        <v>2501.31</v>
      </c>
      <c r="E1189" s="50">
        <v>1</v>
      </c>
      <c r="F1189" s="50">
        <v>0</v>
      </c>
      <c r="G1189" s="64">
        <f t="shared" si="146"/>
        <v>2501.31</v>
      </c>
      <c r="H1189" s="64">
        <f t="shared" si="147"/>
        <v>0</v>
      </c>
    </row>
    <row r="1190" spans="2:8" hidden="1" outlineLevel="2" x14ac:dyDescent="0.25">
      <c r="B1190" s="1" t="s">
        <v>106</v>
      </c>
      <c r="C1190" s="44">
        <v>13441.06</v>
      </c>
      <c r="E1190" s="50">
        <v>1</v>
      </c>
      <c r="F1190" s="50">
        <v>0.9</v>
      </c>
      <c r="G1190" s="64">
        <f t="shared" si="146"/>
        <v>13441.06</v>
      </c>
      <c r="H1190" s="64">
        <f t="shared" si="147"/>
        <v>12096.954</v>
      </c>
    </row>
    <row r="1191" spans="2:8" hidden="1" outlineLevel="2" x14ac:dyDescent="0.25">
      <c r="B1191" s="1" t="s">
        <v>107</v>
      </c>
      <c r="C1191" s="44">
        <v>26888.5</v>
      </c>
      <c r="E1191" s="50">
        <v>1</v>
      </c>
      <c r="F1191" s="50">
        <v>0.9</v>
      </c>
      <c r="G1191" s="64">
        <f t="shared" si="146"/>
        <v>26888.5</v>
      </c>
      <c r="H1191" s="64">
        <f t="shared" si="147"/>
        <v>24199.65</v>
      </c>
    </row>
    <row r="1192" spans="2:8" outlineLevel="1" collapsed="1" x14ac:dyDescent="0.25">
      <c r="B1192" s="60" t="s">
        <v>110</v>
      </c>
      <c r="C1192" s="61">
        <v>167033.85</v>
      </c>
      <c r="E1192" s="62">
        <f>+G1192/C1192</f>
        <v>0</v>
      </c>
      <c r="F1192" s="62">
        <f>+H1192/C1192</f>
        <v>4.5227877463160912E-2</v>
      </c>
      <c r="G1192" s="63">
        <f>SUM(G1193:G1206)</f>
        <v>0</v>
      </c>
      <c r="H1192" s="63">
        <f>SUM(H1193:H1206)</f>
        <v>7554.5865000000003</v>
      </c>
    </row>
    <row r="1193" spans="2:8" hidden="1" outlineLevel="2" x14ac:dyDescent="0.25">
      <c r="B1193" s="1" t="s">
        <v>111</v>
      </c>
      <c r="C1193" s="44">
        <v>0</v>
      </c>
      <c r="E1193" s="50">
        <v>0</v>
      </c>
      <c r="F1193" s="50">
        <v>1</v>
      </c>
      <c r="G1193" s="64">
        <f t="shared" ref="G1193:G1206" si="148">+E1193*C1193</f>
        <v>0</v>
      </c>
      <c r="H1193" s="64">
        <f t="shared" ref="H1193:H1206" si="149">+F1193*C1193</f>
        <v>0</v>
      </c>
    </row>
    <row r="1194" spans="2:8" hidden="1" outlineLevel="2" x14ac:dyDescent="0.25">
      <c r="B1194" s="1" t="s">
        <v>112</v>
      </c>
      <c r="C1194" s="44">
        <v>25106.13</v>
      </c>
      <c r="E1194" s="50">
        <v>0</v>
      </c>
      <c r="F1194" s="50">
        <v>0.15</v>
      </c>
      <c r="G1194" s="64">
        <f t="shared" si="148"/>
        <v>0</v>
      </c>
      <c r="H1194" s="64">
        <f t="shared" si="149"/>
        <v>3765.9195</v>
      </c>
    </row>
    <row r="1195" spans="2:8" hidden="1" outlineLevel="2" x14ac:dyDescent="0.25">
      <c r="B1195" s="1" t="s">
        <v>114</v>
      </c>
      <c r="C1195" s="44">
        <v>19843.650000000001</v>
      </c>
      <c r="E1195" s="50">
        <v>0</v>
      </c>
      <c r="F1195" s="50">
        <v>0.15</v>
      </c>
      <c r="G1195" s="64">
        <f t="shared" si="148"/>
        <v>0</v>
      </c>
      <c r="H1195" s="64">
        <f t="shared" si="149"/>
        <v>2976.5475000000001</v>
      </c>
    </row>
    <row r="1196" spans="2:8" hidden="1" outlineLevel="2" x14ac:dyDescent="0.25">
      <c r="B1196" s="1" t="s">
        <v>115</v>
      </c>
      <c r="C1196" s="44">
        <v>2267.86</v>
      </c>
      <c r="E1196" s="50">
        <v>0</v>
      </c>
      <c r="F1196" s="50">
        <v>0.15</v>
      </c>
      <c r="G1196" s="64">
        <f t="shared" si="148"/>
        <v>0</v>
      </c>
      <c r="H1196" s="64">
        <f t="shared" si="149"/>
        <v>340.17900000000003</v>
      </c>
    </row>
    <row r="1197" spans="2:8" hidden="1" outlineLevel="2" x14ac:dyDescent="0.25">
      <c r="B1197" s="1" t="s">
        <v>116</v>
      </c>
      <c r="C1197" s="44">
        <v>3146.27</v>
      </c>
      <c r="E1197" s="50">
        <v>0</v>
      </c>
      <c r="F1197" s="50">
        <v>0.15</v>
      </c>
      <c r="G1197" s="64">
        <f t="shared" si="148"/>
        <v>0</v>
      </c>
      <c r="H1197" s="64">
        <f t="shared" si="149"/>
        <v>471.94049999999999</v>
      </c>
    </row>
    <row r="1198" spans="2:8" hidden="1" outlineLevel="2" x14ac:dyDescent="0.25">
      <c r="B1198" s="1" t="s">
        <v>117</v>
      </c>
      <c r="C1198" s="44">
        <v>6981.21</v>
      </c>
      <c r="E1198" s="50">
        <v>0</v>
      </c>
      <c r="F1198" s="50">
        <v>0</v>
      </c>
      <c r="G1198" s="64">
        <f t="shared" si="148"/>
        <v>0</v>
      </c>
      <c r="H1198" s="64">
        <f t="shared" si="149"/>
        <v>0</v>
      </c>
    </row>
    <row r="1199" spans="2:8" hidden="1" outlineLevel="2" x14ac:dyDescent="0.25">
      <c r="B1199" s="1" t="s">
        <v>120</v>
      </c>
      <c r="C1199" s="44">
        <v>21736.69</v>
      </c>
      <c r="E1199" s="50">
        <v>0</v>
      </c>
      <c r="F1199" s="50">
        <v>0</v>
      </c>
      <c r="G1199" s="64">
        <f t="shared" si="148"/>
        <v>0</v>
      </c>
      <c r="H1199" s="64">
        <f t="shared" si="149"/>
        <v>0</v>
      </c>
    </row>
    <row r="1200" spans="2:8" hidden="1" outlineLevel="2" x14ac:dyDescent="0.25">
      <c r="B1200" s="1" t="s">
        <v>121</v>
      </c>
      <c r="C1200" s="44">
        <v>6832.58</v>
      </c>
      <c r="E1200" s="50">
        <v>0</v>
      </c>
      <c r="F1200" s="50">
        <v>0</v>
      </c>
      <c r="G1200" s="64">
        <f t="shared" si="148"/>
        <v>0</v>
      </c>
      <c r="H1200" s="64">
        <f t="shared" si="149"/>
        <v>0</v>
      </c>
    </row>
    <row r="1201" spans="2:8" hidden="1" outlineLevel="2" x14ac:dyDescent="0.25">
      <c r="B1201" s="1" t="s">
        <v>122</v>
      </c>
      <c r="C1201" s="44">
        <v>7108.11</v>
      </c>
      <c r="E1201" s="50">
        <v>0</v>
      </c>
      <c r="F1201" s="50">
        <v>0</v>
      </c>
      <c r="G1201" s="64">
        <f t="shared" si="148"/>
        <v>0</v>
      </c>
      <c r="H1201" s="64">
        <f t="shared" si="149"/>
        <v>0</v>
      </c>
    </row>
    <row r="1202" spans="2:8" hidden="1" outlineLevel="2" x14ac:dyDescent="0.25">
      <c r="B1202" s="1" t="s">
        <v>123</v>
      </c>
      <c r="C1202" s="44">
        <v>18986.43</v>
      </c>
      <c r="E1202" s="50">
        <v>0</v>
      </c>
      <c r="F1202" s="50">
        <v>0</v>
      </c>
      <c r="G1202" s="64">
        <f t="shared" si="148"/>
        <v>0</v>
      </c>
      <c r="H1202" s="64">
        <f t="shared" si="149"/>
        <v>0</v>
      </c>
    </row>
    <row r="1203" spans="2:8" hidden="1" outlineLevel="2" x14ac:dyDescent="0.25">
      <c r="B1203" s="1" t="s">
        <v>124</v>
      </c>
      <c r="C1203" s="44">
        <v>52446.46</v>
      </c>
      <c r="E1203" s="50">
        <v>0</v>
      </c>
      <c r="F1203" s="50">
        <v>0</v>
      </c>
      <c r="G1203" s="64">
        <f t="shared" si="148"/>
        <v>0</v>
      </c>
      <c r="H1203" s="64">
        <f t="shared" si="149"/>
        <v>0</v>
      </c>
    </row>
    <row r="1204" spans="2:8" hidden="1" outlineLevel="2" x14ac:dyDescent="0.25">
      <c r="B1204" s="1" t="s">
        <v>301</v>
      </c>
      <c r="C1204" s="44">
        <v>1637.54</v>
      </c>
      <c r="E1204" s="50">
        <v>0</v>
      </c>
      <c r="F1204" s="50">
        <v>0</v>
      </c>
      <c r="G1204" s="64">
        <f t="shared" si="148"/>
        <v>0</v>
      </c>
      <c r="H1204" s="64">
        <f t="shared" si="149"/>
        <v>0</v>
      </c>
    </row>
    <row r="1205" spans="2:8" hidden="1" outlineLevel="2" x14ac:dyDescent="0.25">
      <c r="B1205" s="1" t="s">
        <v>90</v>
      </c>
      <c r="C1205" s="44">
        <v>470.46</v>
      </c>
      <c r="E1205" s="50">
        <v>0</v>
      </c>
      <c r="F1205" s="50">
        <v>0</v>
      </c>
      <c r="G1205" s="64">
        <f t="shared" si="148"/>
        <v>0</v>
      </c>
      <c r="H1205" s="64">
        <f t="shared" si="149"/>
        <v>0</v>
      </c>
    </row>
    <row r="1206" spans="2:8" hidden="1" outlineLevel="2" x14ac:dyDescent="0.25">
      <c r="B1206" s="1" t="s">
        <v>91</v>
      </c>
      <c r="C1206" s="44">
        <v>470.46</v>
      </c>
      <c r="E1206" s="50">
        <v>0</v>
      </c>
      <c r="F1206" s="50">
        <v>0</v>
      </c>
      <c r="G1206" s="64">
        <f t="shared" si="148"/>
        <v>0</v>
      </c>
      <c r="H1206" s="64">
        <f t="shared" si="149"/>
        <v>0</v>
      </c>
    </row>
    <row r="1207" spans="2:8" outlineLevel="1" collapsed="1" x14ac:dyDescent="0.25">
      <c r="B1207" s="60" t="s">
        <v>125</v>
      </c>
      <c r="C1207" s="61">
        <v>26683.07</v>
      </c>
      <c r="E1207" s="62"/>
      <c r="F1207" s="62"/>
      <c r="G1207" s="63"/>
      <c r="H1207" s="63"/>
    </row>
    <row r="1208" spans="2:8" hidden="1" outlineLevel="2" x14ac:dyDescent="0.25">
      <c r="B1208" s="1" t="s">
        <v>126</v>
      </c>
      <c r="C1208" s="44">
        <v>26683.07</v>
      </c>
      <c r="E1208" s="50">
        <v>0</v>
      </c>
      <c r="F1208" s="50">
        <v>0</v>
      </c>
      <c r="G1208" s="64">
        <f>+E1208*C1208</f>
        <v>0</v>
      </c>
      <c r="H1208" s="64">
        <f>+F1208*C1208</f>
        <v>0</v>
      </c>
    </row>
    <row r="1209" spans="2:8" outlineLevel="1" collapsed="1" x14ac:dyDescent="0.25">
      <c r="B1209" s="60" t="s">
        <v>127</v>
      </c>
      <c r="C1209" s="61">
        <v>203007.14</v>
      </c>
      <c r="E1209" s="62"/>
      <c r="F1209" s="62"/>
      <c r="G1209" s="63"/>
      <c r="H1209" s="63"/>
    </row>
    <row r="1210" spans="2:8" hidden="1" outlineLevel="2" x14ac:dyDescent="0.25">
      <c r="B1210" s="1" t="s">
        <v>302</v>
      </c>
      <c r="C1210" s="44">
        <v>12050.32</v>
      </c>
      <c r="E1210" s="50">
        <v>0</v>
      </c>
      <c r="F1210" s="50">
        <v>0</v>
      </c>
      <c r="G1210" s="64">
        <f t="shared" ref="G1210:G1234" si="150">+E1210*C1210</f>
        <v>0</v>
      </c>
      <c r="H1210" s="64">
        <f t="shared" ref="H1210:H1234" si="151">+F1210*C1210</f>
        <v>0</v>
      </c>
    </row>
    <row r="1211" spans="2:8" hidden="1" outlineLevel="2" x14ac:dyDescent="0.25">
      <c r="B1211" s="1" t="s">
        <v>303</v>
      </c>
      <c r="C1211" s="44">
        <v>7601.03</v>
      </c>
      <c r="E1211" s="50">
        <v>0</v>
      </c>
      <c r="F1211" s="50">
        <v>0</v>
      </c>
      <c r="G1211" s="64">
        <f t="shared" si="150"/>
        <v>0</v>
      </c>
      <c r="H1211" s="64">
        <f t="shared" si="151"/>
        <v>0</v>
      </c>
    </row>
    <row r="1212" spans="2:8" hidden="1" outlineLevel="2" x14ac:dyDescent="0.25">
      <c r="B1212" s="1" t="s">
        <v>138</v>
      </c>
      <c r="C1212" s="44">
        <v>975.71</v>
      </c>
      <c r="E1212" s="50">
        <v>0</v>
      </c>
      <c r="F1212" s="50">
        <v>0</v>
      </c>
      <c r="G1212" s="64">
        <f t="shared" si="150"/>
        <v>0</v>
      </c>
      <c r="H1212" s="64">
        <f t="shared" si="151"/>
        <v>0</v>
      </c>
    </row>
    <row r="1213" spans="2:8" hidden="1" outlineLevel="2" x14ac:dyDescent="0.25">
      <c r="B1213" s="1" t="s">
        <v>304</v>
      </c>
      <c r="C1213" s="44">
        <v>1982.23</v>
      </c>
      <c r="E1213" s="50">
        <v>0</v>
      </c>
      <c r="F1213" s="50">
        <v>0</v>
      </c>
      <c r="G1213" s="64">
        <f t="shared" si="150"/>
        <v>0</v>
      </c>
      <c r="H1213" s="64">
        <f t="shared" si="151"/>
        <v>0</v>
      </c>
    </row>
    <row r="1214" spans="2:8" hidden="1" outlineLevel="2" x14ac:dyDescent="0.25">
      <c r="B1214" s="1" t="s">
        <v>136</v>
      </c>
      <c r="C1214" s="44">
        <v>1165.56</v>
      </c>
      <c r="E1214" s="50">
        <v>0</v>
      </c>
      <c r="F1214" s="50">
        <v>0</v>
      </c>
      <c r="G1214" s="64">
        <f t="shared" si="150"/>
        <v>0</v>
      </c>
      <c r="H1214" s="64">
        <f t="shared" si="151"/>
        <v>0</v>
      </c>
    </row>
    <row r="1215" spans="2:8" hidden="1" outlineLevel="2" x14ac:dyDescent="0.25">
      <c r="B1215" s="1" t="s">
        <v>137</v>
      </c>
      <c r="C1215" s="44">
        <v>11155.31</v>
      </c>
      <c r="E1215" s="50">
        <v>0</v>
      </c>
      <c r="F1215" s="50">
        <v>0</v>
      </c>
      <c r="G1215" s="64">
        <f t="shared" si="150"/>
        <v>0</v>
      </c>
      <c r="H1215" s="64">
        <f t="shared" si="151"/>
        <v>0</v>
      </c>
    </row>
    <row r="1216" spans="2:8" hidden="1" outlineLevel="2" x14ac:dyDescent="0.25">
      <c r="B1216" s="1" t="s">
        <v>305</v>
      </c>
      <c r="C1216" s="44">
        <v>8306.69</v>
      </c>
      <c r="E1216" s="50">
        <v>0</v>
      </c>
      <c r="F1216" s="50">
        <v>0</v>
      </c>
      <c r="G1216" s="64">
        <f t="shared" si="150"/>
        <v>0</v>
      </c>
      <c r="H1216" s="64">
        <f t="shared" si="151"/>
        <v>0</v>
      </c>
    </row>
    <row r="1217" spans="2:8" hidden="1" outlineLevel="2" x14ac:dyDescent="0.25">
      <c r="B1217" s="1" t="s">
        <v>306</v>
      </c>
      <c r="C1217" s="44">
        <v>1060.23</v>
      </c>
      <c r="E1217" s="50">
        <v>0</v>
      </c>
      <c r="F1217" s="50">
        <v>0</v>
      </c>
      <c r="G1217" s="64">
        <f t="shared" si="150"/>
        <v>0</v>
      </c>
      <c r="H1217" s="64">
        <f t="shared" si="151"/>
        <v>0</v>
      </c>
    </row>
    <row r="1218" spans="2:8" hidden="1" outlineLevel="2" x14ac:dyDescent="0.25">
      <c r="B1218" s="1" t="s">
        <v>307</v>
      </c>
      <c r="C1218" s="44">
        <v>22015.54</v>
      </c>
      <c r="E1218" s="50">
        <v>0</v>
      </c>
      <c r="F1218" s="50">
        <v>0</v>
      </c>
      <c r="G1218" s="64">
        <f t="shared" si="150"/>
        <v>0</v>
      </c>
      <c r="H1218" s="64">
        <f t="shared" si="151"/>
        <v>0</v>
      </c>
    </row>
    <row r="1219" spans="2:8" hidden="1" outlineLevel="2" x14ac:dyDescent="0.25">
      <c r="B1219" s="1" t="s">
        <v>308</v>
      </c>
      <c r="C1219" s="44">
        <v>2269.54</v>
      </c>
      <c r="E1219" s="50">
        <v>0</v>
      </c>
      <c r="F1219" s="50">
        <v>0</v>
      </c>
      <c r="G1219" s="64">
        <f t="shared" si="150"/>
        <v>0</v>
      </c>
      <c r="H1219" s="64">
        <f t="shared" si="151"/>
        <v>0</v>
      </c>
    </row>
    <row r="1220" spans="2:8" hidden="1" outlineLevel="2" x14ac:dyDescent="0.25">
      <c r="B1220" s="1" t="s">
        <v>309</v>
      </c>
      <c r="C1220" s="44">
        <v>1319.5</v>
      </c>
      <c r="E1220" s="50">
        <v>0</v>
      </c>
      <c r="F1220" s="50">
        <v>0</v>
      </c>
      <c r="G1220" s="64">
        <f t="shared" si="150"/>
        <v>0</v>
      </c>
      <c r="H1220" s="64">
        <f t="shared" si="151"/>
        <v>0</v>
      </c>
    </row>
    <row r="1221" spans="2:8" hidden="1" outlineLevel="2" x14ac:dyDescent="0.25">
      <c r="B1221" s="1" t="s">
        <v>139</v>
      </c>
      <c r="C1221" s="44">
        <v>3628.43</v>
      </c>
      <c r="E1221" s="50">
        <v>0</v>
      </c>
      <c r="F1221" s="50">
        <v>0</v>
      </c>
      <c r="G1221" s="64">
        <f t="shared" si="150"/>
        <v>0</v>
      </c>
      <c r="H1221" s="64">
        <f t="shared" si="151"/>
        <v>0</v>
      </c>
    </row>
    <row r="1222" spans="2:8" hidden="1" outlineLevel="2" x14ac:dyDescent="0.25">
      <c r="B1222" s="1" t="s">
        <v>310</v>
      </c>
      <c r="C1222" s="44">
        <v>1314.66</v>
      </c>
      <c r="E1222" s="50">
        <v>0</v>
      </c>
      <c r="F1222" s="50">
        <v>0</v>
      </c>
      <c r="G1222" s="64">
        <f t="shared" si="150"/>
        <v>0</v>
      </c>
      <c r="H1222" s="64">
        <f t="shared" si="151"/>
        <v>0</v>
      </c>
    </row>
    <row r="1223" spans="2:8" hidden="1" outlineLevel="2" x14ac:dyDescent="0.25">
      <c r="B1223" s="1" t="s">
        <v>311</v>
      </c>
      <c r="C1223" s="44">
        <v>20441.740000000002</v>
      </c>
      <c r="E1223" s="50">
        <v>0</v>
      </c>
      <c r="F1223" s="50">
        <v>0</v>
      </c>
      <c r="G1223" s="64">
        <f t="shared" si="150"/>
        <v>0</v>
      </c>
      <c r="H1223" s="64">
        <f t="shared" si="151"/>
        <v>0</v>
      </c>
    </row>
    <row r="1224" spans="2:8" hidden="1" outlineLevel="2" x14ac:dyDescent="0.25">
      <c r="B1224" s="1" t="s">
        <v>141</v>
      </c>
      <c r="C1224" s="44">
        <v>57407.360000000001</v>
      </c>
      <c r="E1224" s="50">
        <v>0</v>
      </c>
      <c r="F1224" s="50">
        <v>0</v>
      </c>
      <c r="G1224" s="64">
        <f t="shared" si="150"/>
        <v>0</v>
      </c>
      <c r="H1224" s="64">
        <f t="shared" si="151"/>
        <v>0</v>
      </c>
    </row>
    <row r="1225" spans="2:8" hidden="1" outlineLevel="2" x14ac:dyDescent="0.25">
      <c r="B1225" s="1" t="s">
        <v>105</v>
      </c>
      <c r="C1225" s="44">
        <v>2378.69</v>
      </c>
      <c r="E1225" s="50">
        <v>0</v>
      </c>
      <c r="F1225" s="50">
        <v>0</v>
      </c>
      <c r="G1225" s="64">
        <f t="shared" si="150"/>
        <v>0</v>
      </c>
      <c r="H1225" s="64">
        <f t="shared" si="151"/>
        <v>0</v>
      </c>
    </row>
    <row r="1226" spans="2:8" hidden="1" outlineLevel="2" x14ac:dyDescent="0.25">
      <c r="B1226" s="1" t="s">
        <v>140</v>
      </c>
      <c r="C1226" s="44">
        <v>33366.230000000003</v>
      </c>
      <c r="E1226" s="50">
        <v>0</v>
      </c>
      <c r="F1226" s="50">
        <v>0</v>
      </c>
      <c r="G1226" s="64">
        <f t="shared" si="150"/>
        <v>0</v>
      </c>
      <c r="H1226" s="64">
        <f t="shared" si="151"/>
        <v>0</v>
      </c>
    </row>
    <row r="1227" spans="2:8" hidden="1" outlineLevel="2" x14ac:dyDescent="0.25">
      <c r="B1227" s="1" t="s">
        <v>142</v>
      </c>
      <c r="C1227" s="44">
        <v>4977.22</v>
      </c>
      <c r="E1227" s="50">
        <v>0</v>
      </c>
      <c r="F1227" s="50">
        <v>0</v>
      </c>
      <c r="G1227" s="64">
        <f t="shared" si="150"/>
        <v>0</v>
      </c>
      <c r="H1227" s="64">
        <f t="shared" si="151"/>
        <v>0</v>
      </c>
    </row>
    <row r="1228" spans="2:8" hidden="1" outlineLevel="2" x14ac:dyDescent="0.25">
      <c r="B1228" s="1" t="s">
        <v>143</v>
      </c>
      <c r="C1228" s="44">
        <v>5312.02</v>
      </c>
      <c r="E1228" s="50">
        <v>0</v>
      </c>
      <c r="F1228" s="50">
        <v>0</v>
      </c>
      <c r="G1228" s="64">
        <f t="shared" si="150"/>
        <v>0</v>
      </c>
      <c r="H1228" s="64">
        <f t="shared" si="151"/>
        <v>0</v>
      </c>
    </row>
    <row r="1229" spans="2:8" hidden="1" outlineLevel="2" x14ac:dyDescent="0.25">
      <c r="B1229" s="1" t="s">
        <v>312</v>
      </c>
      <c r="C1229" s="44">
        <v>717.18</v>
      </c>
      <c r="E1229" s="50">
        <v>0</v>
      </c>
      <c r="F1229" s="50">
        <v>0</v>
      </c>
      <c r="G1229" s="64">
        <f t="shared" si="150"/>
        <v>0</v>
      </c>
      <c r="H1229" s="64">
        <f t="shared" si="151"/>
        <v>0</v>
      </c>
    </row>
    <row r="1230" spans="2:8" hidden="1" outlineLevel="2" x14ac:dyDescent="0.25">
      <c r="B1230" s="1" t="s">
        <v>313</v>
      </c>
      <c r="C1230" s="44">
        <v>1532.33</v>
      </c>
      <c r="E1230" s="50">
        <v>0</v>
      </c>
      <c r="F1230" s="50">
        <v>0</v>
      </c>
      <c r="G1230" s="64">
        <f t="shared" si="150"/>
        <v>0</v>
      </c>
      <c r="H1230" s="64">
        <f t="shared" si="151"/>
        <v>0</v>
      </c>
    </row>
    <row r="1231" spans="2:8" hidden="1" outlineLevel="2" x14ac:dyDescent="0.25">
      <c r="B1231" s="1" t="s">
        <v>95</v>
      </c>
      <c r="C1231" s="44">
        <v>574.99</v>
      </c>
      <c r="E1231" s="50">
        <v>0</v>
      </c>
      <c r="F1231" s="50">
        <v>0</v>
      </c>
      <c r="G1231" s="64">
        <f t="shared" si="150"/>
        <v>0</v>
      </c>
      <c r="H1231" s="64">
        <f t="shared" si="151"/>
        <v>0</v>
      </c>
    </row>
    <row r="1232" spans="2:8" hidden="1" outlineLevel="2" x14ac:dyDescent="0.25">
      <c r="B1232" s="1" t="s">
        <v>314</v>
      </c>
      <c r="C1232" s="44">
        <v>402.9</v>
      </c>
      <c r="E1232" s="50">
        <v>0</v>
      </c>
      <c r="F1232" s="50">
        <v>0</v>
      </c>
      <c r="G1232" s="64">
        <f t="shared" si="150"/>
        <v>0</v>
      </c>
      <c r="H1232" s="64">
        <f t="shared" si="151"/>
        <v>0</v>
      </c>
    </row>
    <row r="1233" spans="2:8" hidden="1" outlineLevel="2" x14ac:dyDescent="0.25">
      <c r="B1233" s="1" t="s">
        <v>315</v>
      </c>
      <c r="C1233" s="44">
        <v>476.74</v>
      </c>
      <c r="E1233" s="50">
        <v>0</v>
      </c>
      <c r="F1233" s="50">
        <v>0</v>
      </c>
      <c r="G1233" s="64">
        <f t="shared" si="150"/>
        <v>0</v>
      </c>
      <c r="H1233" s="64">
        <f t="shared" si="151"/>
        <v>0</v>
      </c>
    </row>
    <row r="1234" spans="2:8" hidden="1" outlineLevel="2" x14ac:dyDescent="0.25">
      <c r="B1234" s="1" t="s">
        <v>98</v>
      </c>
      <c r="C1234" s="44">
        <v>574.99</v>
      </c>
      <c r="E1234" s="50">
        <v>0</v>
      </c>
      <c r="F1234" s="50">
        <v>0</v>
      </c>
      <c r="G1234" s="64">
        <f t="shared" si="150"/>
        <v>0</v>
      </c>
      <c r="H1234" s="64">
        <f t="shared" si="151"/>
        <v>0</v>
      </c>
    </row>
    <row r="1235" spans="2:8" outlineLevel="1" collapsed="1" x14ac:dyDescent="0.25">
      <c r="B1235" s="60" t="s">
        <v>148</v>
      </c>
      <c r="C1235" s="61">
        <v>226919.92</v>
      </c>
      <c r="E1235" s="62"/>
      <c r="F1235" s="62"/>
      <c r="G1235" s="63"/>
      <c r="H1235" s="63"/>
    </row>
    <row r="1236" spans="2:8" hidden="1" outlineLevel="2" x14ac:dyDescent="0.25">
      <c r="B1236" s="1" t="s">
        <v>149</v>
      </c>
      <c r="C1236" s="44">
        <v>0</v>
      </c>
      <c r="E1236" s="50">
        <v>0</v>
      </c>
      <c r="F1236" s="50">
        <v>0</v>
      </c>
      <c r="G1236" s="64">
        <f t="shared" ref="G1236:G1248" si="152">+E1236*C1236</f>
        <v>0</v>
      </c>
      <c r="H1236" s="64">
        <f t="shared" ref="H1236:H1248" si="153">+F1236*C1236</f>
        <v>0</v>
      </c>
    </row>
    <row r="1237" spans="2:8" hidden="1" outlineLevel="2" x14ac:dyDescent="0.25">
      <c r="B1237" s="1" t="s">
        <v>112</v>
      </c>
      <c r="C1237" s="44">
        <v>28730.91</v>
      </c>
      <c r="E1237" s="50">
        <v>0</v>
      </c>
      <c r="F1237" s="50">
        <v>0</v>
      </c>
      <c r="G1237" s="64">
        <f t="shared" si="152"/>
        <v>0</v>
      </c>
      <c r="H1237" s="64">
        <f t="shared" si="153"/>
        <v>0</v>
      </c>
    </row>
    <row r="1238" spans="2:8" hidden="1" outlineLevel="2" x14ac:dyDescent="0.25">
      <c r="B1238" s="1" t="s">
        <v>113</v>
      </c>
      <c r="C1238" s="44">
        <v>13836.35</v>
      </c>
      <c r="E1238" s="50">
        <v>0</v>
      </c>
      <c r="F1238" s="50">
        <v>0</v>
      </c>
      <c r="G1238" s="64">
        <f t="shared" si="152"/>
        <v>0</v>
      </c>
      <c r="H1238" s="64">
        <f t="shared" si="153"/>
        <v>0</v>
      </c>
    </row>
    <row r="1239" spans="2:8" hidden="1" outlineLevel="2" x14ac:dyDescent="0.25">
      <c r="B1239" s="1" t="s">
        <v>115</v>
      </c>
      <c r="C1239" s="44">
        <v>4849.9399999999996</v>
      </c>
      <c r="E1239" s="50">
        <v>0</v>
      </c>
      <c r="F1239" s="50">
        <v>0</v>
      </c>
      <c r="G1239" s="64">
        <f t="shared" si="152"/>
        <v>0</v>
      </c>
      <c r="H1239" s="64">
        <f t="shared" si="153"/>
        <v>0</v>
      </c>
    </row>
    <row r="1240" spans="2:8" hidden="1" outlineLevel="2" x14ac:dyDescent="0.25">
      <c r="B1240" s="1" t="s">
        <v>116</v>
      </c>
      <c r="C1240" s="44">
        <v>7235.14</v>
      </c>
      <c r="E1240" s="50">
        <v>0</v>
      </c>
      <c r="F1240" s="50">
        <v>0</v>
      </c>
      <c r="G1240" s="64">
        <f t="shared" si="152"/>
        <v>0</v>
      </c>
      <c r="H1240" s="64">
        <f t="shared" si="153"/>
        <v>0</v>
      </c>
    </row>
    <row r="1241" spans="2:8" hidden="1" outlineLevel="2" x14ac:dyDescent="0.25">
      <c r="B1241" s="1" t="s">
        <v>316</v>
      </c>
      <c r="C1241" s="44">
        <v>3264.93</v>
      </c>
      <c r="E1241" s="50">
        <v>0</v>
      </c>
      <c r="F1241" s="50">
        <v>0</v>
      </c>
      <c r="G1241" s="64">
        <f t="shared" si="152"/>
        <v>0</v>
      </c>
      <c r="H1241" s="64">
        <f t="shared" si="153"/>
        <v>0</v>
      </c>
    </row>
    <row r="1242" spans="2:8" hidden="1" outlineLevel="2" x14ac:dyDescent="0.25">
      <c r="B1242" s="1" t="s">
        <v>317</v>
      </c>
      <c r="C1242" s="44">
        <v>14238.46</v>
      </c>
      <c r="E1242" s="50">
        <v>0</v>
      </c>
      <c r="F1242" s="50">
        <v>0</v>
      </c>
      <c r="G1242" s="64">
        <f t="shared" si="152"/>
        <v>0</v>
      </c>
      <c r="H1242" s="64">
        <f t="shared" si="153"/>
        <v>0</v>
      </c>
    </row>
    <row r="1243" spans="2:8" hidden="1" outlineLevel="2" x14ac:dyDescent="0.25">
      <c r="B1243" s="1" t="s">
        <v>120</v>
      </c>
      <c r="C1243" s="44">
        <v>25086.720000000001</v>
      </c>
      <c r="E1243" s="50">
        <v>0</v>
      </c>
      <c r="F1243" s="50">
        <v>0</v>
      </c>
      <c r="G1243" s="64">
        <f t="shared" si="152"/>
        <v>0</v>
      </c>
      <c r="H1243" s="64">
        <f t="shared" si="153"/>
        <v>0</v>
      </c>
    </row>
    <row r="1244" spans="2:8" hidden="1" outlineLevel="2" x14ac:dyDescent="0.25">
      <c r="B1244" s="1" t="s">
        <v>121</v>
      </c>
      <c r="C1244" s="44">
        <v>18304.060000000001</v>
      </c>
      <c r="E1244" s="50">
        <v>0</v>
      </c>
      <c r="F1244" s="50">
        <v>0</v>
      </c>
      <c r="G1244" s="64">
        <f t="shared" si="152"/>
        <v>0</v>
      </c>
      <c r="H1244" s="64">
        <f t="shared" si="153"/>
        <v>0</v>
      </c>
    </row>
    <row r="1245" spans="2:8" hidden="1" outlineLevel="2" x14ac:dyDescent="0.25">
      <c r="B1245" s="1" t="s">
        <v>122</v>
      </c>
      <c r="C1245" s="44">
        <v>20409.62</v>
      </c>
      <c r="E1245" s="50">
        <v>0</v>
      </c>
      <c r="F1245" s="50">
        <v>0</v>
      </c>
      <c r="G1245" s="64">
        <f t="shared" si="152"/>
        <v>0</v>
      </c>
      <c r="H1245" s="64">
        <f t="shared" si="153"/>
        <v>0</v>
      </c>
    </row>
    <row r="1246" spans="2:8" hidden="1" outlineLevel="2" x14ac:dyDescent="0.25">
      <c r="B1246" s="1" t="s">
        <v>123</v>
      </c>
      <c r="C1246" s="44">
        <v>38435.51</v>
      </c>
      <c r="E1246" s="50">
        <v>0</v>
      </c>
      <c r="F1246" s="50">
        <v>0</v>
      </c>
      <c r="G1246" s="64">
        <f t="shared" si="152"/>
        <v>0</v>
      </c>
      <c r="H1246" s="64">
        <f t="shared" si="153"/>
        <v>0</v>
      </c>
    </row>
    <row r="1247" spans="2:8" hidden="1" outlineLevel="2" x14ac:dyDescent="0.25">
      <c r="B1247" s="1" t="s">
        <v>150</v>
      </c>
      <c r="C1247" s="44">
        <v>51569.72</v>
      </c>
      <c r="E1247" s="50">
        <v>0</v>
      </c>
      <c r="F1247" s="50">
        <v>0</v>
      </c>
      <c r="G1247" s="64">
        <f t="shared" si="152"/>
        <v>0</v>
      </c>
      <c r="H1247" s="64">
        <f t="shared" si="153"/>
        <v>0</v>
      </c>
    </row>
    <row r="1248" spans="2:8" hidden="1" outlineLevel="2" x14ac:dyDescent="0.25">
      <c r="B1248" s="1" t="s">
        <v>318</v>
      </c>
      <c r="C1248" s="44">
        <v>958.56</v>
      </c>
      <c r="E1248" s="50">
        <v>0</v>
      </c>
      <c r="F1248" s="50">
        <v>0</v>
      </c>
      <c r="G1248" s="64">
        <f t="shared" si="152"/>
        <v>0</v>
      </c>
      <c r="H1248" s="64">
        <f t="shared" si="153"/>
        <v>0</v>
      </c>
    </row>
    <row r="1249" spans="2:8" outlineLevel="1" collapsed="1" x14ac:dyDescent="0.25">
      <c r="B1249" s="60" t="s">
        <v>151</v>
      </c>
      <c r="C1249" s="61">
        <v>126484.85</v>
      </c>
      <c r="E1249" s="62"/>
      <c r="F1249" s="62"/>
      <c r="G1249" s="63"/>
      <c r="H1249" s="63"/>
    </row>
    <row r="1250" spans="2:8" hidden="1" outlineLevel="2" x14ac:dyDescent="0.25">
      <c r="B1250" s="1" t="s">
        <v>152</v>
      </c>
      <c r="C1250" s="44">
        <v>7848.02</v>
      </c>
      <c r="E1250" s="50">
        <v>0</v>
      </c>
      <c r="F1250" s="50">
        <v>0</v>
      </c>
      <c r="G1250" s="64">
        <f t="shared" ref="G1250:G1267" si="154">+E1250*C1250</f>
        <v>0</v>
      </c>
      <c r="H1250" s="64">
        <f t="shared" ref="H1250:H1267" si="155">+F1250*C1250</f>
        <v>0</v>
      </c>
    </row>
    <row r="1251" spans="2:8" hidden="1" outlineLevel="2" x14ac:dyDescent="0.25">
      <c r="B1251" s="1" t="s">
        <v>319</v>
      </c>
      <c r="C1251" s="44">
        <v>9347.3799999999992</v>
      </c>
      <c r="E1251" s="50">
        <v>0</v>
      </c>
      <c r="F1251" s="50">
        <v>0</v>
      </c>
      <c r="G1251" s="64">
        <f t="shared" si="154"/>
        <v>0</v>
      </c>
      <c r="H1251" s="64">
        <f t="shared" si="155"/>
        <v>0</v>
      </c>
    </row>
    <row r="1252" spans="2:8" hidden="1" outlineLevel="2" x14ac:dyDescent="0.25">
      <c r="B1252" s="1" t="s">
        <v>320</v>
      </c>
      <c r="C1252" s="44">
        <v>2564.4</v>
      </c>
      <c r="E1252" s="50">
        <v>0</v>
      </c>
      <c r="F1252" s="50">
        <v>0</v>
      </c>
      <c r="G1252" s="64">
        <f t="shared" si="154"/>
        <v>0</v>
      </c>
      <c r="H1252" s="64">
        <f t="shared" si="155"/>
        <v>0</v>
      </c>
    </row>
    <row r="1253" spans="2:8" hidden="1" outlineLevel="2" x14ac:dyDescent="0.25">
      <c r="B1253" s="1" t="s">
        <v>321</v>
      </c>
      <c r="C1253" s="44">
        <v>1710.04</v>
      </c>
      <c r="E1253" s="50">
        <v>0</v>
      </c>
      <c r="F1253" s="50">
        <v>0</v>
      </c>
      <c r="G1253" s="64">
        <f t="shared" si="154"/>
        <v>0</v>
      </c>
      <c r="H1253" s="64">
        <f t="shared" si="155"/>
        <v>0</v>
      </c>
    </row>
    <row r="1254" spans="2:8" hidden="1" outlineLevel="2" x14ac:dyDescent="0.25">
      <c r="B1254" s="1" t="s">
        <v>322</v>
      </c>
      <c r="C1254" s="44">
        <v>872.84</v>
      </c>
      <c r="E1254" s="50">
        <v>0</v>
      </c>
      <c r="F1254" s="50">
        <v>0</v>
      </c>
      <c r="G1254" s="64">
        <f t="shared" si="154"/>
        <v>0</v>
      </c>
      <c r="H1254" s="64">
        <f t="shared" si="155"/>
        <v>0</v>
      </c>
    </row>
    <row r="1255" spans="2:8" hidden="1" outlineLevel="2" x14ac:dyDescent="0.25">
      <c r="B1255" s="1" t="s">
        <v>323</v>
      </c>
      <c r="C1255" s="44">
        <v>463.16</v>
      </c>
      <c r="E1255" s="50">
        <v>0</v>
      </c>
      <c r="F1255" s="50">
        <v>0</v>
      </c>
      <c r="G1255" s="64">
        <f t="shared" si="154"/>
        <v>0</v>
      </c>
      <c r="H1255" s="64">
        <f t="shared" si="155"/>
        <v>0</v>
      </c>
    </row>
    <row r="1256" spans="2:8" hidden="1" outlineLevel="2" x14ac:dyDescent="0.25">
      <c r="B1256" s="1" t="s">
        <v>324</v>
      </c>
      <c r="C1256" s="44">
        <v>1923.92</v>
      </c>
      <c r="E1256" s="50">
        <v>0</v>
      </c>
      <c r="F1256" s="50">
        <v>0</v>
      </c>
      <c r="G1256" s="64">
        <f t="shared" si="154"/>
        <v>0</v>
      </c>
      <c r="H1256" s="64">
        <f t="shared" si="155"/>
        <v>0</v>
      </c>
    </row>
    <row r="1257" spans="2:8" hidden="1" outlineLevel="2" x14ac:dyDescent="0.25">
      <c r="B1257" s="1" t="s">
        <v>325</v>
      </c>
      <c r="C1257" s="44">
        <v>1683.57</v>
      </c>
      <c r="E1257" s="50">
        <v>0</v>
      </c>
      <c r="F1257" s="50">
        <v>0</v>
      </c>
      <c r="G1257" s="64">
        <f t="shared" si="154"/>
        <v>0</v>
      </c>
      <c r="H1257" s="64">
        <f t="shared" si="155"/>
        <v>0</v>
      </c>
    </row>
    <row r="1258" spans="2:8" hidden="1" outlineLevel="2" x14ac:dyDescent="0.25">
      <c r="B1258" s="1" t="s">
        <v>155</v>
      </c>
      <c r="C1258" s="44">
        <v>3634.5</v>
      </c>
      <c r="E1258" s="50">
        <v>0</v>
      </c>
      <c r="F1258" s="50">
        <v>0</v>
      </c>
      <c r="G1258" s="64">
        <f t="shared" si="154"/>
        <v>0</v>
      </c>
      <c r="H1258" s="64">
        <f t="shared" si="155"/>
        <v>0</v>
      </c>
    </row>
    <row r="1259" spans="2:8" hidden="1" outlineLevel="2" x14ac:dyDescent="0.25">
      <c r="B1259" s="1" t="s">
        <v>326</v>
      </c>
      <c r="C1259" s="44">
        <v>4115.76</v>
      </c>
      <c r="E1259" s="50">
        <v>0</v>
      </c>
      <c r="F1259" s="50">
        <v>0</v>
      </c>
      <c r="G1259" s="64">
        <f t="shared" si="154"/>
        <v>0</v>
      </c>
      <c r="H1259" s="64">
        <f t="shared" si="155"/>
        <v>0</v>
      </c>
    </row>
    <row r="1260" spans="2:8" hidden="1" outlineLevel="2" x14ac:dyDescent="0.25">
      <c r="B1260" s="1" t="s">
        <v>327</v>
      </c>
      <c r="C1260" s="44">
        <v>6948.8</v>
      </c>
      <c r="E1260" s="50">
        <v>0</v>
      </c>
      <c r="F1260" s="50">
        <v>0</v>
      </c>
      <c r="G1260" s="64">
        <f t="shared" si="154"/>
        <v>0</v>
      </c>
      <c r="H1260" s="64">
        <f t="shared" si="155"/>
        <v>0</v>
      </c>
    </row>
    <row r="1261" spans="2:8" hidden="1" outlineLevel="2" x14ac:dyDescent="0.25">
      <c r="B1261" s="1" t="s">
        <v>328</v>
      </c>
      <c r="C1261" s="44">
        <v>7983.2</v>
      </c>
      <c r="E1261" s="50">
        <v>0</v>
      </c>
      <c r="F1261" s="50">
        <v>0</v>
      </c>
      <c r="G1261" s="64">
        <f t="shared" si="154"/>
        <v>0</v>
      </c>
      <c r="H1261" s="64">
        <f t="shared" si="155"/>
        <v>0</v>
      </c>
    </row>
    <row r="1262" spans="2:8" hidden="1" outlineLevel="2" x14ac:dyDescent="0.25">
      <c r="B1262" s="1" t="s">
        <v>160</v>
      </c>
      <c r="C1262" s="44">
        <v>17107.439999999999</v>
      </c>
      <c r="E1262" s="50">
        <v>0</v>
      </c>
      <c r="F1262" s="50">
        <v>0</v>
      </c>
      <c r="G1262" s="64">
        <f t="shared" si="154"/>
        <v>0</v>
      </c>
      <c r="H1262" s="64">
        <f t="shared" si="155"/>
        <v>0</v>
      </c>
    </row>
    <row r="1263" spans="2:8" hidden="1" outlineLevel="2" x14ac:dyDescent="0.25">
      <c r="B1263" s="1" t="s">
        <v>139</v>
      </c>
      <c r="C1263" s="44">
        <v>3974.1</v>
      </c>
      <c r="E1263" s="50">
        <v>0</v>
      </c>
      <c r="F1263" s="50">
        <v>0</v>
      </c>
      <c r="G1263" s="64">
        <f t="shared" si="154"/>
        <v>0</v>
      </c>
      <c r="H1263" s="64">
        <f t="shared" si="155"/>
        <v>0</v>
      </c>
    </row>
    <row r="1264" spans="2:8" hidden="1" outlineLevel="2" x14ac:dyDescent="0.25">
      <c r="B1264" s="1" t="s">
        <v>161</v>
      </c>
      <c r="C1264" s="44">
        <v>27590.82</v>
      </c>
      <c r="E1264" s="50">
        <v>0</v>
      </c>
      <c r="F1264" s="50">
        <v>0</v>
      </c>
      <c r="G1264" s="64">
        <f t="shared" si="154"/>
        <v>0</v>
      </c>
      <c r="H1264" s="64">
        <f t="shared" si="155"/>
        <v>0</v>
      </c>
    </row>
    <row r="1265" spans="2:8" hidden="1" outlineLevel="2" x14ac:dyDescent="0.25">
      <c r="B1265" s="1" t="s">
        <v>105</v>
      </c>
      <c r="C1265" s="44">
        <v>2488.67</v>
      </c>
      <c r="E1265" s="50">
        <v>0</v>
      </c>
      <c r="F1265" s="50">
        <v>0</v>
      </c>
      <c r="G1265" s="64">
        <f t="shared" si="154"/>
        <v>0</v>
      </c>
      <c r="H1265" s="64">
        <f t="shared" si="155"/>
        <v>0</v>
      </c>
    </row>
    <row r="1266" spans="2:8" hidden="1" outlineLevel="2" x14ac:dyDescent="0.25">
      <c r="B1266" s="1" t="s">
        <v>140</v>
      </c>
      <c r="C1266" s="44">
        <v>24031.53</v>
      </c>
      <c r="E1266" s="50">
        <v>0</v>
      </c>
      <c r="F1266" s="50">
        <v>0</v>
      </c>
      <c r="G1266" s="64">
        <f t="shared" si="154"/>
        <v>0</v>
      </c>
      <c r="H1266" s="64">
        <f t="shared" si="155"/>
        <v>0</v>
      </c>
    </row>
    <row r="1267" spans="2:8" hidden="1" outlineLevel="2" x14ac:dyDescent="0.25">
      <c r="B1267" s="1" t="s">
        <v>162</v>
      </c>
      <c r="C1267" s="44">
        <v>2196.6999999999998</v>
      </c>
      <c r="E1267" s="50">
        <v>0</v>
      </c>
      <c r="F1267" s="50">
        <v>0</v>
      </c>
      <c r="G1267" s="64">
        <f t="shared" si="154"/>
        <v>0</v>
      </c>
      <c r="H1267" s="64">
        <f t="shared" si="155"/>
        <v>0</v>
      </c>
    </row>
    <row r="1268" spans="2:8" outlineLevel="1" collapsed="1" x14ac:dyDescent="0.25">
      <c r="B1268" s="60" t="s">
        <v>163</v>
      </c>
      <c r="C1268" s="61">
        <v>90820.99</v>
      </c>
      <c r="E1268" s="62"/>
      <c r="F1268" s="62"/>
      <c r="G1268" s="63"/>
      <c r="H1268" s="63"/>
    </row>
    <row r="1269" spans="2:8" hidden="1" outlineLevel="2" x14ac:dyDescent="0.25">
      <c r="B1269" s="1" t="s">
        <v>112</v>
      </c>
      <c r="C1269" s="44">
        <v>4464.6000000000004</v>
      </c>
      <c r="E1269" s="50">
        <v>0</v>
      </c>
      <c r="F1269" s="50">
        <v>0</v>
      </c>
      <c r="G1269" s="64">
        <f t="shared" ref="G1269:G1276" si="156">+E1269*C1269</f>
        <v>0</v>
      </c>
      <c r="H1269" s="64">
        <f t="shared" ref="H1269:H1276" si="157">+F1269*C1269</f>
        <v>0</v>
      </c>
    </row>
    <row r="1270" spans="2:8" hidden="1" outlineLevel="2" x14ac:dyDescent="0.25">
      <c r="B1270" s="1" t="s">
        <v>164</v>
      </c>
      <c r="C1270" s="44">
        <v>14239.78</v>
      </c>
      <c r="E1270" s="50">
        <v>0</v>
      </c>
      <c r="F1270" s="50">
        <v>0</v>
      </c>
      <c r="G1270" s="64">
        <f t="shared" si="156"/>
        <v>0</v>
      </c>
      <c r="H1270" s="64">
        <f t="shared" si="157"/>
        <v>0</v>
      </c>
    </row>
    <row r="1271" spans="2:8" hidden="1" outlineLevel="2" x14ac:dyDescent="0.25">
      <c r="B1271" s="1" t="s">
        <v>329</v>
      </c>
      <c r="C1271" s="44">
        <v>20649.03</v>
      </c>
      <c r="E1271" s="50">
        <v>0</v>
      </c>
      <c r="F1271" s="50">
        <v>0</v>
      </c>
      <c r="G1271" s="64">
        <f t="shared" si="156"/>
        <v>0</v>
      </c>
      <c r="H1271" s="64">
        <f t="shared" si="157"/>
        <v>0</v>
      </c>
    </row>
    <row r="1272" spans="2:8" hidden="1" outlineLevel="2" x14ac:dyDescent="0.25">
      <c r="B1272" s="1" t="s">
        <v>166</v>
      </c>
      <c r="C1272" s="44">
        <v>4296.96</v>
      </c>
      <c r="E1272" s="50">
        <v>0</v>
      </c>
      <c r="F1272" s="50">
        <v>0</v>
      </c>
      <c r="G1272" s="64">
        <f t="shared" si="156"/>
        <v>0</v>
      </c>
      <c r="H1272" s="64">
        <f t="shared" si="157"/>
        <v>0</v>
      </c>
    </row>
    <row r="1273" spans="2:8" hidden="1" outlineLevel="2" x14ac:dyDescent="0.25">
      <c r="B1273" s="1" t="s">
        <v>330</v>
      </c>
      <c r="C1273" s="44">
        <v>2318.3200000000002</v>
      </c>
      <c r="E1273" s="50">
        <v>0</v>
      </c>
      <c r="F1273" s="50">
        <v>0</v>
      </c>
      <c r="G1273" s="64">
        <f t="shared" si="156"/>
        <v>0</v>
      </c>
      <c r="H1273" s="64">
        <f t="shared" si="157"/>
        <v>0</v>
      </c>
    </row>
    <row r="1274" spans="2:8" hidden="1" outlineLevel="2" x14ac:dyDescent="0.25">
      <c r="B1274" s="1" t="s">
        <v>167</v>
      </c>
      <c r="C1274" s="44">
        <v>5749.92</v>
      </c>
      <c r="E1274" s="50">
        <v>0</v>
      </c>
      <c r="F1274" s="50">
        <v>0</v>
      </c>
      <c r="G1274" s="64">
        <f t="shared" si="156"/>
        <v>0</v>
      </c>
      <c r="H1274" s="64">
        <f t="shared" si="157"/>
        <v>0</v>
      </c>
    </row>
    <row r="1275" spans="2:8" hidden="1" outlineLevel="2" x14ac:dyDescent="0.25">
      <c r="B1275" s="1" t="s">
        <v>331</v>
      </c>
      <c r="C1275" s="44">
        <v>36613.71</v>
      </c>
      <c r="E1275" s="50">
        <v>0</v>
      </c>
      <c r="F1275" s="50">
        <v>0</v>
      </c>
      <c r="G1275" s="64">
        <f t="shared" si="156"/>
        <v>0</v>
      </c>
      <c r="H1275" s="64">
        <f t="shared" si="157"/>
        <v>0</v>
      </c>
    </row>
    <row r="1276" spans="2:8" hidden="1" outlineLevel="2" x14ac:dyDescent="0.25">
      <c r="B1276" s="1" t="s">
        <v>105</v>
      </c>
      <c r="C1276" s="44">
        <v>2488.67</v>
      </c>
      <c r="E1276" s="50">
        <v>0</v>
      </c>
      <c r="F1276" s="50">
        <v>0</v>
      </c>
      <c r="G1276" s="64">
        <f t="shared" si="156"/>
        <v>0</v>
      </c>
      <c r="H1276" s="64">
        <f t="shared" si="157"/>
        <v>0</v>
      </c>
    </row>
    <row r="1277" spans="2:8" outlineLevel="1" collapsed="1" x14ac:dyDescent="0.25">
      <c r="B1277" s="60" t="s">
        <v>169</v>
      </c>
      <c r="C1277" s="61">
        <v>7350.66</v>
      </c>
      <c r="E1277" s="62"/>
      <c r="F1277" s="62"/>
      <c r="G1277" s="63"/>
      <c r="H1277" s="63"/>
    </row>
    <row r="1278" spans="2:8" hidden="1" outlineLevel="2" x14ac:dyDescent="0.25">
      <c r="B1278" s="1" t="s">
        <v>170</v>
      </c>
      <c r="C1278" s="44">
        <v>5509.8</v>
      </c>
      <c r="E1278" s="50">
        <v>0</v>
      </c>
      <c r="F1278" s="50">
        <v>0</v>
      </c>
      <c r="G1278" s="64">
        <f>+E1278*C1278</f>
        <v>0</v>
      </c>
      <c r="H1278" s="64">
        <f>+F1278*C1278</f>
        <v>0</v>
      </c>
    </row>
    <row r="1279" spans="2:8" hidden="1" outlineLevel="2" x14ac:dyDescent="0.25">
      <c r="B1279" s="1" t="s">
        <v>171</v>
      </c>
      <c r="C1279" s="44">
        <v>1840.86</v>
      </c>
      <c r="E1279" s="50">
        <v>0</v>
      </c>
      <c r="F1279" s="50">
        <v>0</v>
      </c>
      <c r="G1279" s="64">
        <f>+E1279*C1279</f>
        <v>0</v>
      </c>
      <c r="H1279" s="64">
        <f>+F1279*C1279</f>
        <v>0</v>
      </c>
    </row>
    <row r="1280" spans="2:8" outlineLevel="1" collapsed="1" x14ac:dyDescent="0.25">
      <c r="B1280" s="60" t="s">
        <v>172</v>
      </c>
      <c r="C1280" s="61">
        <v>25050.720000000001</v>
      </c>
      <c r="E1280" s="62"/>
      <c r="F1280" s="62"/>
      <c r="G1280" s="63"/>
      <c r="H1280" s="63"/>
    </row>
    <row r="1281" spans="2:8" hidden="1" outlineLevel="2" x14ac:dyDescent="0.25">
      <c r="B1281" s="1" t="s">
        <v>173</v>
      </c>
      <c r="C1281" s="44">
        <v>3716.95</v>
      </c>
      <c r="E1281" s="50">
        <v>0</v>
      </c>
      <c r="F1281" s="50">
        <v>0</v>
      </c>
      <c r="G1281" s="64">
        <f>+E1281*C1281</f>
        <v>0</v>
      </c>
      <c r="H1281" s="64">
        <f>+F1281*C1281</f>
        <v>0</v>
      </c>
    </row>
    <row r="1282" spans="2:8" hidden="1" outlineLevel="2" x14ac:dyDescent="0.25">
      <c r="B1282" s="1" t="s">
        <v>174</v>
      </c>
      <c r="C1282" s="44">
        <v>21333.77</v>
      </c>
      <c r="E1282" s="50">
        <v>0</v>
      </c>
      <c r="F1282" s="50">
        <v>0</v>
      </c>
      <c r="G1282" s="64">
        <f>+E1282*C1282</f>
        <v>0</v>
      </c>
      <c r="H1282" s="64">
        <f>+F1282*C1282</f>
        <v>0</v>
      </c>
    </row>
    <row r="1283" spans="2:8" outlineLevel="1" collapsed="1" x14ac:dyDescent="0.25">
      <c r="B1283" s="60" t="s">
        <v>175</v>
      </c>
      <c r="C1283" s="61">
        <v>188894.05</v>
      </c>
      <c r="E1283" s="62"/>
      <c r="F1283" s="62"/>
      <c r="G1283" s="63"/>
      <c r="H1283" s="63"/>
    </row>
    <row r="1284" spans="2:8" hidden="1" outlineLevel="2" x14ac:dyDescent="0.25">
      <c r="B1284" s="1" t="s">
        <v>176</v>
      </c>
      <c r="C1284" s="44">
        <v>2170.59</v>
      </c>
      <c r="E1284" s="50">
        <v>0</v>
      </c>
      <c r="F1284" s="50">
        <v>0</v>
      </c>
      <c r="G1284" s="64">
        <f t="shared" ref="G1284:G1309" si="158">+E1284*C1284</f>
        <v>0</v>
      </c>
      <c r="H1284" s="64">
        <f t="shared" ref="H1284:H1309" si="159">+F1284*C1284</f>
        <v>0</v>
      </c>
    </row>
    <row r="1285" spans="2:8" hidden="1" outlineLevel="2" x14ac:dyDescent="0.25">
      <c r="B1285" s="1" t="s">
        <v>332</v>
      </c>
      <c r="C1285" s="44">
        <v>0</v>
      </c>
      <c r="E1285" s="50">
        <v>0</v>
      </c>
      <c r="F1285" s="50">
        <v>0</v>
      </c>
      <c r="G1285" s="64">
        <f t="shared" si="158"/>
        <v>0</v>
      </c>
      <c r="H1285" s="64">
        <f t="shared" si="159"/>
        <v>0</v>
      </c>
    </row>
    <row r="1286" spans="2:8" hidden="1" outlineLevel="2" x14ac:dyDescent="0.25">
      <c r="B1286" s="1" t="s">
        <v>333</v>
      </c>
      <c r="C1286" s="44">
        <v>9159.15</v>
      </c>
      <c r="E1286" s="50">
        <v>0</v>
      </c>
      <c r="F1286" s="50">
        <v>0</v>
      </c>
      <c r="G1286" s="64">
        <f t="shared" si="158"/>
        <v>0</v>
      </c>
      <c r="H1286" s="64">
        <f t="shared" si="159"/>
        <v>0</v>
      </c>
    </row>
    <row r="1287" spans="2:8" hidden="1" outlineLevel="2" x14ac:dyDescent="0.25">
      <c r="B1287" s="1" t="s">
        <v>334</v>
      </c>
      <c r="C1287" s="44">
        <v>6332.5</v>
      </c>
      <c r="E1287" s="50">
        <v>0</v>
      </c>
      <c r="F1287" s="50">
        <v>0</v>
      </c>
      <c r="G1287" s="64">
        <f t="shared" si="158"/>
        <v>0</v>
      </c>
      <c r="H1287" s="64">
        <f t="shared" si="159"/>
        <v>0</v>
      </c>
    </row>
    <row r="1288" spans="2:8" hidden="1" outlineLevel="2" x14ac:dyDescent="0.25">
      <c r="B1288" s="1" t="s">
        <v>335</v>
      </c>
      <c r="C1288" s="44">
        <v>1656.86</v>
      </c>
      <c r="E1288" s="50">
        <v>0</v>
      </c>
      <c r="F1288" s="50">
        <v>0</v>
      </c>
      <c r="G1288" s="64">
        <f t="shared" si="158"/>
        <v>0</v>
      </c>
      <c r="H1288" s="64">
        <f t="shared" si="159"/>
        <v>0</v>
      </c>
    </row>
    <row r="1289" spans="2:8" hidden="1" outlineLevel="2" x14ac:dyDescent="0.25">
      <c r="B1289" s="1" t="s">
        <v>336</v>
      </c>
      <c r="C1289" s="44">
        <v>261.52999999999997</v>
      </c>
      <c r="E1289" s="50">
        <v>0</v>
      </c>
      <c r="F1289" s="50">
        <v>0</v>
      </c>
      <c r="G1289" s="64">
        <f t="shared" si="158"/>
        <v>0</v>
      </c>
      <c r="H1289" s="64">
        <f t="shared" si="159"/>
        <v>0</v>
      </c>
    </row>
    <row r="1290" spans="2:8" hidden="1" outlineLevel="2" x14ac:dyDescent="0.25">
      <c r="B1290" s="1" t="s">
        <v>337</v>
      </c>
      <c r="C1290" s="44">
        <v>1615.32</v>
      </c>
      <c r="E1290" s="50">
        <v>0</v>
      </c>
      <c r="F1290" s="50">
        <v>0</v>
      </c>
      <c r="G1290" s="64">
        <f t="shared" si="158"/>
        <v>0</v>
      </c>
      <c r="H1290" s="64">
        <f t="shared" si="159"/>
        <v>0</v>
      </c>
    </row>
    <row r="1291" spans="2:8" hidden="1" outlineLevel="2" x14ac:dyDescent="0.25">
      <c r="B1291" s="1" t="s">
        <v>177</v>
      </c>
      <c r="C1291" s="44">
        <v>3892.35</v>
      </c>
      <c r="E1291" s="50">
        <v>0</v>
      </c>
      <c r="F1291" s="50">
        <v>0</v>
      </c>
      <c r="G1291" s="64">
        <f t="shared" si="158"/>
        <v>0</v>
      </c>
      <c r="H1291" s="64">
        <f t="shared" si="159"/>
        <v>0</v>
      </c>
    </row>
    <row r="1292" spans="2:8" hidden="1" outlineLevel="2" x14ac:dyDescent="0.25">
      <c r="B1292" s="1" t="s">
        <v>178</v>
      </c>
      <c r="C1292" s="44">
        <v>103.26</v>
      </c>
      <c r="E1292" s="50">
        <v>0</v>
      </c>
      <c r="F1292" s="50">
        <v>0</v>
      </c>
      <c r="G1292" s="64">
        <f t="shared" si="158"/>
        <v>0</v>
      </c>
      <c r="H1292" s="64">
        <f t="shared" si="159"/>
        <v>0</v>
      </c>
    </row>
    <row r="1293" spans="2:8" hidden="1" outlineLevel="2" x14ac:dyDescent="0.25">
      <c r="B1293" s="1" t="s">
        <v>179</v>
      </c>
      <c r="C1293" s="44">
        <v>2300.16</v>
      </c>
      <c r="E1293" s="50">
        <v>0</v>
      </c>
      <c r="F1293" s="50">
        <v>0</v>
      </c>
      <c r="G1293" s="64">
        <f t="shared" si="158"/>
        <v>0</v>
      </c>
      <c r="H1293" s="64">
        <f t="shared" si="159"/>
        <v>0</v>
      </c>
    </row>
    <row r="1294" spans="2:8" hidden="1" outlineLevel="2" x14ac:dyDescent="0.25">
      <c r="B1294" s="1" t="s">
        <v>180</v>
      </c>
      <c r="C1294" s="44">
        <v>697.01</v>
      </c>
      <c r="E1294" s="50">
        <v>0</v>
      </c>
      <c r="F1294" s="50">
        <v>0</v>
      </c>
      <c r="G1294" s="64">
        <f t="shared" si="158"/>
        <v>0</v>
      </c>
      <c r="H1294" s="64">
        <f t="shared" si="159"/>
        <v>0</v>
      </c>
    </row>
    <row r="1295" spans="2:8" hidden="1" outlineLevel="2" x14ac:dyDescent="0.25">
      <c r="B1295" s="1" t="s">
        <v>95</v>
      </c>
      <c r="C1295" s="44">
        <v>574.99</v>
      </c>
      <c r="E1295" s="50">
        <v>0</v>
      </c>
      <c r="F1295" s="50">
        <v>0</v>
      </c>
      <c r="G1295" s="64">
        <f t="shared" si="158"/>
        <v>0</v>
      </c>
      <c r="H1295" s="64">
        <f t="shared" si="159"/>
        <v>0</v>
      </c>
    </row>
    <row r="1296" spans="2:8" hidden="1" outlineLevel="2" x14ac:dyDescent="0.25">
      <c r="B1296" s="1" t="s">
        <v>181</v>
      </c>
      <c r="C1296" s="44">
        <v>4001.07</v>
      </c>
      <c r="E1296" s="50">
        <v>0</v>
      </c>
      <c r="F1296" s="50">
        <v>0</v>
      </c>
      <c r="G1296" s="64">
        <f t="shared" si="158"/>
        <v>0</v>
      </c>
      <c r="H1296" s="64">
        <f t="shared" si="159"/>
        <v>0</v>
      </c>
    </row>
    <row r="1297" spans="2:8" hidden="1" outlineLevel="2" x14ac:dyDescent="0.25">
      <c r="B1297" s="1" t="s">
        <v>182</v>
      </c>
      <c r="C1297" s="44">
        <v>582.16999999999996</v>
      </c>
      <c r="E1297" s="50">
        <v>0</v>
      </c>
      <c r="F1297" s="50">
        <v>0</v>
      </c>
      <c r="G1297" s="64">
        <f t="shared" si="158"/>
        <v>0</v>
      </c>
      <c r="H1297" s="64">
        <f t="shared" si="159"/>
        <v>0</v>
      </c>
    </row>
    <row r="1298" spans="2:8" hidden="1" outlineLevel="2" x14ac:dyDescent="0.25">
      <c r="B1298" s="1" t="s">
        <v>98</v>
      </c>
      <c r="C1298" s="44">
        <v>574.99</v>
      </c>
      <c r="E1298" s="50">
        <v>0</v>
      </c>
      <c r="F1298" s="50">
        <v>0</v>
      </c>
      <c r="G1298" s="64">
        <f t="shared" si="158"/>
        <v>0</v>
      </c>
      <c r="H1298" s="64">
        <f t="shared" si="159"/>
        <v>0</v>
      </c>
    </row>
    <row r="1299" spans="2:8" hidden="1" outlineLevel="2" x14ac:dyDescent="0.25">
      <c r="B1299" s="1" t="s">
        <v>183</v>
      </c>
      <c r="C1299" s="44">
        <v>5038.08</v>
      </c>
      <c r="E1299" s="50">
        <v>0</v>
      </c>
      <c r="F1299" s="50">
        <v>0</v>
      </c>
      <c r="G1299" s="64">
        <f t="shared" si="158"/>
        <v>0</v>
      </c>
      <c r="H1299" s="64">
        <f t="shared" si="159"/>
        <v>0</v>
      </c>
    </row>
    <row r="1300" spans="2:8" hidden="1" outlineLevel="2" x14ac:dyDescent="0.25">
      <c r="B1300" s="1" t="s">
        <v>184</v>
      </c>
      <c r="C1300" s="44">
        <v>19232.099999999999</v>
      </c>
      <c r="E1300" s="50">
        <v>0</v>
      </c>
      <c r="F1300" s="50">
        <v>0</v>
      </c>
      <c r="G1300" s="64">
        <f t="shared" si="158"/>
        <v>0</v>
      </c>
      <c r="H1300" s="64">
        <f t="shared" si="159"/>
        <v>0</v>
      </c>
    </row>
    <row r="1301" spans="2:8" hidden="1" outlineLevel="2" x14ac:dyDescent="0.25">
      <c r="B1301" s="1" t="s">
        <v>105</v>
      </c>
      <c r="C1301" s="44">
        <v>961.86</v>
      </c>
      <c r="E1301" s="50">
        <v>0</v>
      </c>
      <c r="F1301" s="50">
        <v>0</v>
      </c>
      <c r="G1301" s="64">
        <f t="shared" si="158"/>
        <v>0</v>
      </c>
      <c r="H1301" s="64">
        <f t="shared" si="159"/>
        <v>0</v>
      </c>
    </row>
    <row r="1302" spans="2:8" hidden="1" outlineLevel="2" x14ac:dyDescent="0.25">
      <c r="B1302" s="1" t="s">
        <v>185</v>
      </c>
      <c r="C1302" s="44">
        <v>34476.089999999997</v>
      </c>
      <c r="E1302" s="50">
        <v>0</v>
      </c>
      <c r="F1302" s="50">
        <v>0</v>
      </c>
      <c r="G1302" s="64">
        <f t="shared" si="158"/>
        <v>0</v>
      </c>
      <c r="H1302" s="64">
        <f t="shared" si="159"/>
        <v>0</v>
      </c>
    </row>
    <row r="1303" spans="2:8" hidden="1" outlineLevel="2" x14ac:dyDescent="0.25">
      <c r="B1303" s="1" t="s">
        <v>186</v>
      </c>
      <c r="C1303" s="44">
        <v>7984.25</v>
      </c>
      <c r="E1303" s="50">
        <v>0</v>
      </c>
      <c r="F1303" s="50">
        <v>0</v>
      </c>
      <c r="G1303" s="64">
        <f t="shared" si="158"/>
        <v>0</v>
      </c>
      <c r="H1303" s="64">
        <f t="shared" si="159"/>
        <v>0</v>
      </c>
    </row>
    <row r="1304" spans="2:8" hidden="1" outlineLevel="2" x14ac:dyDescent="0.25">
      <c r="B1304" s="1" t="s">
        <v>105</v>
      </c>
      <c r="C1304" s="44">
        <v>399.32</v>
      </c>
      <c r="E1304" s="50">
        <v>0</v>
      </c>
      <c r="F1304" s="50">
        <v>0</v>
      </c>
      <c r="G1304" s="64">
        <f t="shared" si="158"/>
        <v>0</v>
      </c>
      <c r="H1304" s="64">
        <f t="shared" si="159"/>
        <v>0</v>
      </c>
    </row>
    <row r="1305" spans="2:8" hidden="1" outlineLevel="2" x14ac:dyDescent="0.25">
      <c r="B1305" s="1" t="s">
        <v>187</v>
      </c>
      <c r="C1305" s="44">
        <v>742.91</v>
      </c>
      <c r="E1305" s="50">
        <v>0</v>
      </c>
      <c r="F1305" s="50">
        <v>0</v>
      </c>
      <c r="G1305" s="64">
        <f t="shared" si="158"/>
        <v>0</v>
      </c>
      <c r="H1305" s="64">
        <f t="shared" si="159"/>
        <v>0</v>
      </c>
    </row>
    <row r="1306" spans="2:8" hidden="1" outlineLevel="2" x14ac:dyDescent="0.25">
      <c r="B1306" s="1" t="s">
        <v>188</v>
      </c>
      <c r="C1306" s="44">
        <v>9692.98</v>
      </c>
      <c r="E1306" s="50">
        <v>0</v>
      </c>
      <c r="F1306" s="50">
        <v>0</v>
      </c>
      <c r="G1306" s="64">
        <f t="shared" si="158"/>
        <v>0</v>
      </c>
      <c r="H1306" s="64">
        <f t="shared" si="159"/>
        <v>0</v>
      </c>
    </row>
    <row r="1307" spans="2:8" hidden="1" outlineLevel="2" x14ac:dyDescent="0.25">
      <c r="B1307" s="1" t="s">
        <v>338</v>
      </c>
      <c r="C1307" s="44">
        <v>29626.57</v>
      </c>
      <c r="E1307" s="50">
        <v>0</v>
      </c>
      <c r="F1307" s="50">
        <v>0</v>
      </c>
      <c r="G1307" s="64">
        <f t="shared" si="158"/>
        <v>0</v>
      </c>
      <c r="H1307" s="64">
        <f t="shared" si="159"/>
        <v>0</v>
      </c>
    </row>
    <row r="1308" spans="2:8" hidden="1" outlineLevel="2" x14ac:dyDescent="0.25">
      <c r="B1308" s="1" t="s">
        <v>339</v>
      </c>
      <c r="C1308" s="44">
        <v>33171.08</v>
      </c>
      <c r="E1308" s="50">
        <v>0</v>
      </c>
      <c r="F1308" s="50">
        <v>0</v>
      </c>
      <c r="G1308" s="64">
        <f t="shared" si="158"/>
        <v>0</v>
      </c>
      <c r="H1308" s="64">
        <f t="shared" si="159"/>
        <v>0</v>
      </c>
    </row>
    <row r="1309" spans="2:8" hidden="1" outlineLevel="2" x14ac:dyDescent="0.25">
      <c r="B1309" s="1" t="s">
        <v>340</v>
      </c>
      <c r="C1309" s="44">
        <v>13646.86</v>
      </c>
      <c r="E1309" s="50">
        <v>0</v>
      </c>
      <c r="F1309" s="50">
        <v>0</v>
      </c>
      <c r="G1309" s="64">
        <f t="shared" si="158"/>
        <v>0</v>
      </c>
      <c r="H1309" s="64">
        <f t="shared" si="159"/>
        <v>0</v>
      </c>
    </row>
    <row r="1310" spans="2:8" outlineLevel="1" collapsed="1" x14ac:dyDescent="0.25">
      <c r="B1310" s="60" t="s">
        <v>190</v>
      </c>
      <c r="C1310" s="61">
        <v>166532.97</v>
      </c>
      <c r="E1310" s="62"/>
      <c r="F1310" s="62"/>
      <c r="G1310" s="63"/>
      <c r="H1310" s="63"/>
    </row>
    <row r="1311" spans="2:8" hidden="1" outlineLevel="2" x14ac:dyDescent="0.25">
      <c r="B1311" s="1" t="s">
        <v>191</v>
      </c>
      <c r="C1311" s="44">
        <v>64808.09</v>
      </c>
      <c r="E1311" s="50">
        <v>0</v>
      </c>
      <c r="F1311" s="50">
        <v>0</v>
      </c>
      <c r="G1311" s="64">
        <f t="shared" ref="G1311:G1318" si="160">+E1311*C1311</f>
        <v>0</v>
      </c>
      <c r="H1311" s="64">
        <f t="shared" ref="H1311:H1318" si="161">+F1311*C1311</f>
        <v>0</v>
      </c>
    </row>
    <row r="1312" spans="2:8" hidden="1" outlineLevel="2" x14ac:dyDescent="0.25">
      <c r="B1312" s="1" t="s">
        <v>192</v>
      </c>
      <c r="C1312" s="44">
        <v>38790.660000000003</v>
      </c>
      <c r="E1312" s="50">
        <v>0</v>
      </c>
      <c r="F1312" s="50">
        <v>0</v>
      </c>
      <c r="G1312" s="64">
        <f t="shared" si="160"/>
        <v>0</v>
      </c>
      <c r="H1312" s="64">
        <f t="shared" si="161"/>
        <v>0</v>
      </c>
    </row>
    <row r="1313" spans="2:8" hidden="1" outlineLevel="2" x14ac:dyDescent="0.25">
      <c r="B1313" s="1" t="s">
        <v>193</v>
      </c>
      <c r="C1313" s="44">
        <v>22861.3</v>
      </c>
      <c r="E1313" s="50">
        <v>0</v>
      </c>
      <c r="F1313" s="50">
        <v>0</v>
      </c>
      <c r="G1313" s="64">
        <f t="shared" si="160"/>
        <v>0</v>
      </c>
      <c r="H1313" s="64">
        <f t="shared" si="161"/>
        <v>0</v>
      </c>
    </row>
    <row r="1314" spans="2:8" hidden="1" outlineLevel="2" x14ac:dyDescent="0.25">
      <c r="B1314" s="1" t="s">
        <v>194</v>
      </c>
      <c r="C1314" s="44">
        <v>3311.24</v>
      </c>
      <c r="E1314" s="50">
        <v>0</v>
      </c>
      <c r="F1314" s="50">
        <v>0</v>
      </c>
      <c r="G1314" s="64">
        <f t="shared" si="160"/>
        <v>0</v>
      </c>
      <c r="H1314" s="64">
        <f t="shared" si="161"/>
        <v>0</v>
      </c>
    </row>
    <row r="1315" spans="2:8" hidden="1" outlineLevel="2" x14ac:dyDescent="0.25">
      <c r="B1315" s="1" t="s">
        <v>341</v>
      </c>
      <c r="C1315" s="44">
        <v>17500.990000000002</v>
      </c>
      <c r="E1315" s="50">
        <v>0</v>
      </c>
      <c r="F1315" s="50">
        <v>0</v>
      </c>
      <c r="G1315" s="64">
        <f t="shared" si="160"/>
        <v>0</v>
      </c>
      <c r="H1315" s="64">
        <f t="shared" si="161"/>
        <v>0</v>
      </c>
    </row>
    <row r="1316" spans="2:8" hidden="1" outlineLevel="2" x14ac:dyDescent="0.25">
      <c r="B1316" s="1" t="s">
        <v>342</v>
      </c>
      <c r="C1316" s="44">
        <v>12951.73</v>
      </c>
      <c r="E1316" s="50">
        <v>0</v>
      </c>
      <c r="F1316" s="50">
        <v>0</v>
      </c>
      <c r="G1316" s="64">
        <f t="shared" si="160"/>
        <v>0</v>
      </c>
      <c r="H1316" s="64">
        <f t="shared" si="161"/>
        <v>0</v>
      </c>
    </row>
    <row r="1317" spans="2:8" hidden="1" outlineLevel="2" x14ac:dyDescent="0.25">
      <c r="B1317" s="1" t="s">
        <v>343</v>
      </c>
      <c r="C1317" s="44">
        <v>3589.26</v>
      </c>
      <c r="E1317" s="50">
        <v>0</v>
      </c>
      <c r="F1317" s="50">
        <v>0</v>
      </c>
      <c r="G1317" s="64">
        <f t="shared" si="160"/>
        <v>0</v>
      </c>
      <c r="H1317" s="64">
        <f t="shared" si="161"/>
        <v>0</v>
      </c>
    </row>
    <row r="1318" spans="2:8" hidden="1" outlineLevel="2" x14ac:dyDescent="0.25">
      <c r="B1318" s="1" t="s">
        <v>344</v>
      </c>
      <c r="C1318" s="44">
        <v>2719.7</v>
      </c>
      <c r="E1318" s="50">
        <v>0</v>
      </c>
      <c r="F1318" s="50">
        <v>0</v>
      </c>
      <c r="G1318" s="64">
        <f t="shared" si="160"/>
        <v>0</v>
      </c>
      <c r="H1318" s="64">
        <f t="shared" si="161"/>
        <v>0</v>
      </c>
    </row>
    <row r="1319" spans="2:8" outlineLevel="1" collapsed="1" x14ac:dyDescent="0.25">
      <c r="B1319" s="60" t="s">
        <v>195</v>
      </c>
      <c r="C1319" s="61">
        <v>211896.68</v>
      </c>
      <c r="E1319" s="62"/>
      <c r="F1319" s="62"/>
      <c r="G1319" s="63"/>
      <c r="H1319" s="63"/>
    </row>
    <row r="1320" spans="2:8" hidden="1" outlineLevel="2" x14ac:dyDescent="0.25">
      <c r="B1320" s="1" t="s">
        <v>196</v>
      </c>
      <c r="C1320" s="44">
        <v>101452.75</v>
      </c>
      <c r="E1320" s="50">
        <v>0</v>
      </c>
      <c r="F1320" s="50">
        <v>0</v>
      </c>
      <c r="G1320" s="64">
        <f t="shared" ref="G1320:G1326" si="162">+E1320*C1320</f>
        <v>0</v>
      </c>
      <c r="H1320" s="64">
        <f t="shared" ref="H1320:H1326" si="163">+F1320*C1320</f>
        <v>0</v>
      </c>
    </row>
    <row r="1321" spans="2:8" hidden="1" outlineLevel="2" x14ac:dyDescent="0.25">
      <c r="B1321" s="1" t="s">
        <v>345</v>
      </c>
      <c r="C1321" s="44">
        <v>5107.7700000000004</v>
      </c>
      <c r="E1321" s="50">
        <v>0</v>
      </c>
      <c r="F1321" s="50">
        <v>0</v>
      </c>
      <c r="G1321" s="64">
        <f t="shared" si="162"/>
        <v>0</v>
      </c>
      <c r="H1321" s="64">
        <f t="shared" si="163"/>
        <v>0</v>
      </c>
    </row>
    <row r="1322" spans="2:8" hidden="1" outlineLevel="2" x14ac:dyDescent="0.25">
      <c r="B1322" s="1" t="s">
        <v>346</v>
      </c>
      <c r="C1322" s="44">
        <v>36924.78</v>
      </c>
      <c r="E1322" s="50">
        <v>0</v>
      </c>
      <c r="F1322" s="50">
        <v>0</v>
      </c>
      <c r="G1322" s="64">
        <f t="shared" si="162"/>
        <v>0</v>
      </c>
      <c r="H1322" s="64">
        <f t="shared" si="163"/>
        <v>0</v>
      </c>
    </row>
    <row r="1323" spans="2:8" hidden="1" outlineLevel="2" x14ac:dyDescent="0.25">
      <c r="B1323" s="1" t="s">
        <v>347</v>
      </c>
      <c r="C1323" s="44">
        <v>6597.05</v>
      </c>
      <c r="E1323" s="50">
        <v>0</v>
      </c>
      <c r="F1323" s="50">
        <v>0</v>
      </c>
      <c r="G1323" s="64">
        <f t="shared" si="162"/>
        <v>0</v>
      </c>
      <c r="H1323" s="64">
        <f t="shared" si="163"/>
        <v>0</v>
      </c>
    </row>
    <row r="1324" spans="2:8" hidden="1" outlineLevel="2" x14ac:dyDescent="0.25">
      <c r="B1324" s="1" t="s">
        <v>348</v>
      </c>
      <c r="C1324" s="44">
        <v>15889.99</v>
      </c>
      <c r="E1324" s="50">
        <v>0</v>
      </c>
      <c r="F1324" s="50">
        <v>0</v>
      </c>
      <c r="G1324" s="64">
        <f t="shared" si="162"/>
        <v>0</v>
      </c>
      <c r="H1324" s="64">
        <f t="shared" si="163"/>
        <v>0</v>
      </c>
    </row>
    <row r="1325" spans="2:8" hidden="1" outlineLevel="2" x14ac:dyDescent="0.25">
      <c r="B1325" s="1" t="s">
        <v>199</v>
      </c>
      <c r="C1325" s="44">
        <v>35433.1</v>
      </c>
      <c r="E1325" s="50">
        <v>0</v>
      </c>
      <c r="F1325" s="50">
        <v>0</v>
      </c>
      <c r="G1325" s="64">
        <f t="shared" si="162"/>
        <v>0</v>
      </c>
      <c r="H1325" s="64">
        <f t="shared" si="163"/>
        <v>0</v>
      </c>
    </row>
    <row r="1326" spans="2:8" hidden="1" outlineLevel="2" x14ac:dyDescent="0.25">
      <c r="B1326" s="1" t="s">
        <v>201</v>
      </c>
      <c r="C1326" s="44">
        <v>10491.24</v>
      </c>
      <c r="E1326" s="50">
        <v>0</v>
      </c>
      <c r="F1326" s="50">
        <v>0</v>
      </c>
      <c r="G1326" s="64">
        <f t="shared" si="162"/>
        <v>0</v>
      </c>
      <c r="H1326" s="64">
        <f t="shared" si="163"/>
        <v>0</v>
      </c>
    </row>
    <row r="1327" spans="2:8" outlineLevel="1" collapsed="1" x14ac:dyDescent="0.25">
      <c r="B1327" s="60" t="s">
        <v>202</v>
      </c>
      <c r="C1327" s="61">
        <v>128336.19</v>
      </c>
      <c r="E1327" s="62"/>
      <c r="F1327" s="62"/>
      <c r="G1327" s="63"/>
      <c r="H1327" s="63"/>
    </row>
    <row r="1328" spans="2:8" hidden="1" outlineLevel="2" x14ac:dyDescent="0.25">
      <c r="B1328" s="1" t="s">
        <v>203</v>
      </c>
      <c r="C1328" s="44">
        <v>79508.289999999994</v>
      </c>
      <c r="E1328" s="50">
        <v>0</v>
      </c>
      <c r="F1328" s="50">
        <v>0</v>
      </c>
      <c r="G1328" s="64">
        <f t="shared" ref="G1328:G1343" si="164">+E1328*C1328</f>
        <v>0</v>
      </c>
      <c r="H1328" s="64">
        <f t="shared" ref="H1328:H1343" si="165">+F1328*C1328</f>
        <v>0</v>
      </c>
    </row>
    <row r="1329" spans="2:8" hidden="1" outlineLevel="2" x14ac:dyDescent="0.25">
      <c r="B1329" s="1" t="s">
        <v>349</v>
      </c>
      <c r="C1329" s="44">
        <v>66315.990000000005</v>
      </c>
      <c r="E1329" s="50">
        <v>0</v>
      </c>
      <c r="F1329" s="50">
        <v>0</v>
      </c>
      <c r="G1329" s="64">
        <f t="shared" si="164"/>
        <v>0</v>
      </c>
      <c r="H1329" s="64">
        <f t="shared" si="165"/>
        <v>0</v>
      </c>
    </row>
    <row r="1330" spans="2:8" hidden="1" outlineLevel="2" x14ac:dyDescent="0.25">
      <c r="B1330" s="1" t="s">
        <v>350</v>
      </c>
      <c r="C1330" s="44">
        <v>13192.3</v>
      </c>
      <c r="E1330" s="50">
        <v>0</v>
      </c>
      <c r="F1330" s="50">
        <v>0</v>
      </c>
      <c r="G1330" s="64">
        <f t="shared" si="164"/>
        <v>0</v>
      </c>
      <c r="H1330" s="64">
        <f t="shared" si="165"/>
        <v>0</v>
      </c>
    </row>
    <row r="1331" spans="2:8" hidden="1" outlineLevel="2" x14ac:dyDescent="0.25">
      <c r="B1331" s="1" t="s">
        <v>351</v>
      </c>
      <c r="C1331" s="44">
        <v>11266.24</v>
      </c>
      <c r="E1331" s="50">
        <v>0</v>
      </c>
      <c r="F1331" s="50">
        <v>0</v>
      </c>
      <c r="G1331" s="64">
        <f t="shared" si="164"/>
        <v>0</v>
      </c>
      <c r="H1331" s="64">
        <f t="shared" si="165"/>
        <v>0</v>
      </c>
    </row>
    <row r="1332" spans="2:8" hidden="1" outlineLevel="2" x14ac:dyDescent="0.25">
      <c r="B1332" s="1" t="s">
        <v>352</v>
      </c>
      <c r="C1332" s="44">
        <v>11266.24</v>
      </c>
      <c r="E1332" s="50">
        <v>0</v>
      </c>
      <c r="F1332" s="50">
        <v>0</v>
      </c>
      <c r="G1332" s="64">
        <f t="shared" si="164"/>
        <v>0</v>
      </c>
      <c r="H1332" s="64">
        <f t="shared" si="165"/>
        <v>0</v>
      </c>
    </row>
    <row r="1333" spans="2:8" hidden="1" outlineLevel="2" x14ac:dyDescent="0.25">
      <c r="B1333" s="1" t="s">
        <v>206</v>
      </c>
      <c r="C1333" s="44">
        <v>34400.620000000003</v>
      </c>
      <c r="E1333" s="50">
        <v>0</v>
      </c>
      <c r="F1333" s="50">
        <v>0</v>
      </c>
      <c r="G1333" s="64">
        <f t="shared" si="164"/>
        <v>0</v>
      </c>
      <c r="H1333" s="64">
        <f t="shared" si="165"/>
        <v>0</v>
      </c>
    </row>
    <row r="1334" spans="2:8" hidden="1" outlineLevel="2" x14ac:dyDescent="0.25">
      <c r="B1334" s="1" t="s">
        <v>353</v>
      </c>
      <c r="C1334" s="44">
        <v>15685.85</v>
      </c>
      <c r="E1334" s="50">
        <v>0</v>
      </c>
      <c r="F1334" s="50">
        <v>0</v>
      </c>
      <c r="G1334" s="64">
        <f t="shared" si="164"/>
        <v>0</v>
      </c>
      <c r="H1334" s="64">
        <f t="shared" si="165"/>
        <v>0</v>
      </c>
    </row>
    <row r="1335" spans="2:8" hidden="1" outlineLevel="2" x14ac:dyDescent="0.25">
      <c r="B1335" s="1" t="s">
        <v>208</v>
      </c>
      <c r="C1335" s="44">
        <v>844.6</v>
      </c>
      <c r="E1335" s="50">
        <v>0</v>
      </c>
      <c r="F1335" s="50">
        <v>0</v>
      </c>
      <c r="G1335" s="64">
        <f t="shared" si="164"/>
        <v>0</v>
      </c>
      <c r="H1335" s="64">
        <f t="shared" si="165"/>
        <v>0</v>
      </c>
    </row>
    <row r="1336" spans="2:8" hidden="1" outlineLevel="2" x14ac:dyDescent="0.25">
      <c r="B1336" s="1" t="s">
        <v>354</v>
      </c>
      <c r="C1336" s="44">
        <v>2869.85</v>
      </c>
      <c r="E1336" s="50">
        <v>0</v>
      </c>
      <c r="F1336" s="50">
        <v>0</v>
      </c>
      <c r="G1336" s="64">
        <f t="shared" si="164"/>
        <v>0</v>
      </c>
      <c r="H1336" s="64">
        <f t="shared" si="165"/>
        <v>0</v>
      </c>
    </row>
    <row r="1337" spans="2:8" hidden="1" outlineLevel="2" x14ac:dyDescent="0.25">
      <c r="B1337" s="1" t="s">
        <v>350</v>
      </c>
      <c r="C1337" s="44">
        <v>3126.61</v>
      </c>
      <c r="E1337" s="50">
        <v>0</v>
      </c>
      <c r="F1337" s="50">
        <v>0</v>
      </c>
      <c r="G1337" s="64">
        <f t="shared" si="164"/>
        <v>0</v>
      </c>
      <c r="H1337" s="64">
        <f t="shared" si="165"/>
        <v>0</v>
      </c>
    </row>
    <row r="1338" spans="2:8" hidden="1" outlineLevel="2" x14ac:dyDescent="0.25">
      <c r="B1338" s="1" t="s">
        <v>349</v>
      </c>
      <c r="C1338" s="44">
        <v>6617.83</v>
      </c>
      <c r="E1338" s="50">
        <v>0</v>
      </c>
      <c r="F1338" s="50">
        <v>0</v>
      </c>
      <c r="G1338" s="64">
        <f t="shared" si="164"/>
        <v>0</v>
      </c>
      <c r="H1338" s="64">
        <f t="shared" si="165"/>
        <v>0</v>
      </c>
    </row>
    <row r="1339" spans="2:8" hidden="1" outlineLevel="2" x14ac:dyDescent="0.25">
      <c r="B1339" s="1" t="s">
        <v>210</v>
      </c>
      <c r="C1339" s="44">
        <v>2474.7399999999998</v>
      </c>
      <c r="E1339" s="50">
        <v>0</v>
      </c>
      <c r="F1339" s="50">
        <v>0</v>
      </c>
      <c r="G1339" s="64">
        <f t="shared" si="164"/>
        <v>0</v>
      </c>
      <c r="H1339" s="64">
        <f t="shared" si="165"/>
        <v>0</v>
      </c>
    </row>
    <row r="1340" spans="2:8" hidden="1" outlineLevel="2" x14ac:dyDescent="0.25">
      <c r="B1340" s="1" t="s">
        <v>211</v>
      </c>
      <c r="C1340" s="44">
        <v>2781.14</v>
      </c>
      <c r="E1340" s="50">
        <v>0</v>
      </c>
      <c r="F1340" s="50">
        <v>0</v>
      </c>
      <c r="G1340" s="64">
        <f t="shared" si="164"/>
        <v>0</v>
      </c>
      <c r="H1340" s="64">
        <f t="shared" si="165"/>
        <v>0</v>
      </c>
    </row>
    <row r="1341" spans="2:8" hidden="1" outlineLevel="2" x14ac:dyDescent="0.25">
      <c r="B1341" s="1" t="s">
        <v>56</v>
      </c>
      <c r="C1341" s="44">
        <v>3161.04</v>
      </c>
      <c r="E1341" s="50">
        <v>0</v>
      </c>
      <c r="F1341" s="50">
        <v>0</v>
      </c>
      <c r="G1341" s="64">
        <f t="shared" si="164"/>
        <v>0</v>
      </c>
      <c r="H1341" s="64">
        <f t="shared" si="165"/>
        <v>0</v>
      </c>
    </row>
    <row r="1342" spans="2:8" hidden="1" outlineLevel="2" x14ac:dyDescent="0.25">
      <c r="B1342" s="1" t="s">
        <v>349</v>
      </c>
      <c r="C1342" s="44">
        <v>3161.04</v>
      </c>
      <c r="E1342" s="50">
        <v>0</v>
      </c>
      <c r="F1342" s="50">
        <v>0</v>
      </c>
      <c r="G1342" s="64">
        <f t="shared" si="164"/>
        <v>0</v>
      </c>
      <c r="H1342" s="64">
        <f t="shared" si="165"/>
        <v>0</v>
      </c>
    </row>
    <row r="1343" spans="2:8" hidden="1" outlineLevel="2" x14ac:dyDescent="0.25">
      <c r="B1343" s="1" t="s">
        <v>350</v>
      </c>
      <c r="C1343" s="44">
        <v>0</v>
      </c>
      <c r="E1343" s="50">
        <v>0</v>
      </c>
      <c r="F1343" s="50">
        <v>0</v>
      </c>
      <c r="G1343" s="64">
        <f t="shared" si="164"/>
        <v>0</v>
      </c>
      <c r="H1343" s="64">
        <f t="shared" si="165"/>
        <v>0</v>
      </c>
    </row>
    <row r="1344" spans="2:8" outlineLevel="1" collapsed="1" x14ac:dyDescent="0.25">
      <c r="B1344" s="60" t="s">
        <v>212</v>
      </c>
      <c r="C1344" s="61">
        <v>883.4</v>
      </c>
      <c r="E1344" s="62"/>
      <c r="F1344" s="62"/>
      <c r="G1344" s="63"/>
      <c r="H1344" s="63"/>
    </row>
    <row r="1345" spans="2:8" hidden="1" outlineLevel="2" x14ac:dyDescent="0.25">
      <c r="B1345" s="1" t="s">
        <v>213</v>
      </c>
      <c r="C1345" s="44">
        <v>883.4</v>
      </c>
      <c r="E1345" s="50">
        <v>0</v>
      </c>
      <c r="F1345" s="50">
        <v>0</v>
      </c>
      <c r="G1345" s="64">
        <f>+E1345*C1345</f>
        <v>0</v>
      </c>
      <c r="H1345" s="64">
        <f>+F1345*C1345</f>
        <v>0</v>
      </c>
    </row>
    <row r="1346" spans="2:8" outlineLevel="1" collapsed="1" x14ac:dyDescent="0.25">
      <c r="B1346" s="60" t="s">
        <v>214</v>
      </c>
      <c r="C1346" s="61">
        <v>7349.8</v>
      </c>
      <c r="E1346" s="62"/>
      <c r="F1346" s="62"/>
      <c r="G1346" s="63"/>
      <c r="H1346" s="63"/>
    </row>
    <row r="1347" spans="2:8" hidden="1" outlineLevel="2" x14ac:dyDescent="0.25">
      <c r="B1347" s="1" t="s">
        <v>215</v>
      </c>
      <c r="C1347" s="44">
        <v>5509.8</v>
      </c>
      <c r="E1347" s="50">
        <v>0</v>
      </c>
      <c r="F1347" s="50">
        <v>0</v>
      </c>
      <c r="G1347" s="64">
        <f>+E1347*C1347</f>
        <v>0</v>
      </c>
      <c r="H1347" s="64">
        <f>+F1347*C1347</f>
        <v>0</v>
      </c>
    </row>
    <row r="1348" spans="2:8" hidden="1" outlineLevel="2" x14ac:dyDescent="0.25">
      <c r="B1348" s="1" t="s">
        <v>216</v>
      </c>
      <c r="C1348" s="44">
        <v>1840</v>
      </c>
      <c r="E1348" s="50">
        <v>0</v>
      </c>
      <c r="F1348" s="50">
        <v>0</v>
      </c>
      <c r="G1348" s="64">
        <f>+E1348*C1348</f>
        <v>0</v>
      </c>
      <c r="H1348" s="64">
        <f>+F1348*C1348</f>
        <v>0</v>
      </c>
    </row>
    <row r="1349" spans="2:8" outlineLevel="1" collapsed="1" x14ac:dyDescent="0.25">
      <c r="B1349" s="60" t="s">
        <v>217</v>
      </c>
      <c r="C1349" s="61">
        <v>154174.9</v>
      </c>
      <c r="E1349" s="62"/>
      <c r="F1349" s="62"/>
      <c r="G1349" s="63"/>
      <c r="H1349" s="63"/>
    </row>
    <row r="1350" spans="2:8" hidden="1" outlineLevel="2" x14ac:dyDescent="0.25">
      <c r="B1350" s="1" t="s">
        <v>355</v>
      </c>
      <c r="C1350" s="44">
        <v>21475.95</v>
      </c>
      <c r="E1350" s="50">
        <v>0</v>
      </c>
      <c r="F1350" s="50">
        <v>0</v>
      </c>
      <c r="G1350" s="64">
        <f t="shared" ref="G1350:G1359" si="166">+E1350*C1350</f>
        <v>0</v>
      </c>
      <c r="H1350" s="64">
        <f t="shared" ref="H1350:H1359" si="167">+F1350*C1350</f>
        <v>0</v>
      </c>
    </row>
    <row r="1351" spans="2:8" hidden="1" outlineLevel="2" x14ac:dyDescent="0.25">
      <c r="B1351" s="1" t="s">
        <v>356</v>
      </c>
      <c r="C1351" s="44">
        <v>13840.06</v>
      </c>
      <c r="E1351" s="50">
        <v>0</v>
      </c>
      <c r="F1351" s="50">
        <v>0</v>
      </c>
      <c r="G1351" s="64">
        <f t="shared" si="166"/>
        <v>0</v>
      </c>
      <c r="H1351" s="64">
        <f t="shared" si="167"/>
        <v>0</v>
      </c>
    </row>
    <row r="1352" spans="2:8" hidden="1" outlineLevel="2" x14ac:dyDescent="0.25">
      <c r="B1352" s="1" t="s">
        <v>357</v>
      </c>
      <c r="C1352" s="44">
        <v>1145.3800000000001</v>
      </c>
      <c r="E1352" s="50">
        <v>0</v>
      </c>
      <c r="F1352" s="50">
        <v>0</v>
      </c>
      <c r="G1352" s="64">
        <f t="shared" si="166"/>
        <v>0</v>
      </c>
      <c r="H1352" s="64">
        <f t="shared" si="167"/>
        <v>0</v>
      </c>
    </row>
    <row r="1353" spans="2:8" hidden="1" outlineLevel="2" x14ac:dyDescent="0.25">
      <c r="B1353" s="1" t="s">
        <v>358</v>
      </c>
      <c r="C1353" s="44">
        <v>3817.95</v>
      </c>
      <c r="E1353" s="50">
        <v>0</v>
      </c>
      <c r="F1353" s="50">
        <v>0</v>
      </c>
      <c r="G1353" s="64">
        <f t="shared" si="166"/>
        <v>0</v>
      </c>
      <c r="H1353" s="64">
        <f t="shared" si="167"/>
        <v>0</v>
      </c>
    </row>
    <row r="1354" spans="2:8" hidden="1" outlineLevel="2" x14ac:dyDescent="0.25">
      <c r="B1354" s="1" t="s">
        <v>359</v>
      </c>
      <c r="C1354" s="44">
        <v>16703.52</v>
      </c>
      <c r="E1354" s="50">
        <v>0</v>
      </c>
      <c r="F1354" s="50">
        <v>0</v>
      </c>
      <c r="G1354" s="64">
        <f t="shared" si="166"/>
        <v>0</v>
      </c>
      <c r="H1354" s="64">
        <f t="shared" si="167"/>
        <v>0</v>
      </c>
    </row>
    <row r="1355" spans="2:8" hidden="1" outlineLevel="2" x14ac:dyDescent="0.25">
      <c r="B1355" s="1" t="s">
        <v>360</v>
      </c>
      <c r="C1355" s="44">
        <v>12885.57</v>
      </c>
      <c r="E1355" s="50">
        <v>0</v>
      </c>
      <c r="F1355" s="50">
        <v>0</v>
      </c>
      <c r="G1355" s="64">
        <f t="shared" si="166"/>
        <v>0</v>
      </c>
      <c r="H1355" s="64">
        <f t="shared" si="167"/>
        <v>0</v>
      </c>
    </row>
    <row r="1356" spans="2:8" hidden="1" outlineLevel="2" x14ac:dyDescent="0.25">
      <c r="B1356" s="1" t="s">
        <v>361</v>
      </c>
      <c r="C1356" s="44">
        <v>32070.75</v>
      </c>
      <c r="E1356" s="50">
        <v>0</v>
      </c>
      <c r="F1356" s="50">
        <v>0</v>
      </c>
      <c r="G1356" s="64">
        <f t="shared" si="166"/>
        <v>0</v>
      </c>
      <c r="H1356" s="64">
        <f t="shared" si="167"/>
        <v>0</v>
      </c>
    </row>
    <row r="1357" spans="2:8" hidden="1" outlineLevel="2" x14ac:dyDescent="0.25">
      <c r="B1357" s="1" t="s">
        <v>362</v>
      </c>
      <c r="C1357" s="44">
        <v>7254.1</v>
      </c>
      <c r="E1357" s="50">
        <v>0</v>
      </c>
      <c r="F1357" s="50">
        <v>0</v>
      </c>
      <c r="G1357" s="64">
        <f t="shared" si="166"/>
        <v>0</v>
      </c>
      <c r="H1357" s="64">
        <f t="shared" si="167"/>
        <v>0</v>
      </c>
    </row>
    <row r="1358" spans="2:8" hidden="1" outlineLevel="2" x14ac:dyDescent="0.25">
      <c r="B1358" s="1" t="s">
        <v>363</v>
      </c>
      <c r="C1358" s="44">
        <v>38656.71</v>
      </c>
      <c r="E1358" s="50">
        <v>0</v>
      </c>
      <c r="F1358" s="50">
        <v>0</v>
      </c>
      <c r="G1358" s="64">
        <f t="shared" si="166"/>
        <v>0</v>
      </c>
      <c r="H1358" s="64">
        <f t="shared" si="167"/>
        <v>0</v>
      </c>
    </row>
    <row r="1359" spans="2:8" hidden="1" outlineLevel="2" x14ac:dyDescent="0.25">
      <c r="B1359" s="1" t="s">
        <v>364</v>
      </c>
      <c r="C1359" s="44">
        <v>6324.91</v>
      </c>
      <c r="E1359" s="50">
        <v>0</v>
      </c>
      <c r="F1359" s="50">
        <v>0</v>
      </c>
      <c r="G1359" s="64">
        <f t="shared" si="166"/>
        <v>0</v>
      </c>
      <c r="H1359" s="64">
        <f t="shared" si="167"/>
        <v>0</v>
      </c>
    </row>
    <row r="1360" spans="2:8" outlineLevel="1" collapsed="1" x14ac:dyDescent="0.25">
      <c r="B1360" s="60" t="s">
        <v>224</v>
      </c>
      <c r="C1360" s="61">
        <v>49448.68</v>
      </c>
      <c r="E1360" s="62"/>
      <c r="F1360" s="62"/>
      <c r="G1360" s="63"/>
      <c r="H1360" s="63"/>
    </row>
    <row r="1361" spans="2:8" hidden="1" outlineLevel="2" x14ac:dyDescent="0.25">
      <c r="B1361" s="1" t="s">
        <v>225</v>
      </c>
      <c r="C1361" s="44">
        <v>15449.35</v>
      </c>
      <c r="E1361" s="50">
        <v>0</v>
      </c>
      <c r="F1361" s="50">
        <v>0</v>
      </c>
      <c r="G1361" s="64">
        <f>+E1361*C1361</f>
        <v>0</v>
      </c>
      <c r="H1361" s="64">
        <f>+F1361*C1361</f>
        <v>0</v>
      </c>
    </row>
    <row r="1362" spans="2:8" hidden="1" outlineLevel="2" x14ac:dyDescent="0.25">
      <c r="B1362" s="1" t="s">
        <v>365</v>
      </c>
      <c r="C1362" s="44">
        <v>3869.74</v>
      </c>
      <c r="E1362" s="50">
        <v>0</v>
      </c>
      <c r="F1362" s="50">
        <v>0</v>
      </c>
      <c r="G1362" s="64">
        <f>+E1362*C1362</f>
        <v>0</v>
      </c>
      <c r="H1362" s="64">
        <f>+F1362*C1362</f>
        <v>0</v>
      </c>
    </row>
    <row r="1363" spans="2:8" hidden="1" outlineLevel="2" x14ac:dyDescent="0.25">
      <c r="B1363" s="1" t="s">
        <v>227</v>
      </c>
      <c r="C1363" s="44">
        <v>14719.8</v>
      </c>
      <c r="E1363" s="50">
        <v>0</v>
      </c>
      <c r="F1363" s="50">
        <v>0</v>
      </c>
      <c r="G1363" s="64">
        <f>+E1363*C1363</f>
        <v>0</v>
      </c>
      <c r="H1363" s="64">
        <f>+F1363*C1363</f>
        <v>0</v>
      </c>
    </row>
    <row r="1364" spans="2:8" hidden="1" outlineLevel="2" x14ac:dyDescent="0.25">
      <c r="B1364" s="1" t="s">
        <v>226</v>
      </c>
      <c r="C1364" s="44">
        <v>7359.9</v>
      </c>
      <c r="E1364" s="50">
        <v>0</v>
      </c>
      <c r="F1364" s="50">
        <v>0</v>
      </c>
      <c r="G1364" s="64">
        <f>+E1364*C1364</f>
        <v>0</v>
      </c>
      <c r="H1364" s="64">
        <f>+F1364*C1364</f>
        <v>0</v>
      </c>
    </row>
    <row r="1365" spans="2:8" hidden="1" outlineLevel="2" x14ac:dyDescent="0.25">
      <c r="B1365" s="1" t="s">
        <v>366</v>
      </c>
      <c r="C1365" s="44">
        <v>8049.89</v>
      </c>
      <c r="E1365" s="50">
        <v>0</v>
      </c>
      <c r="F1365" s="50">
        <v>0</v>
      </c>
      <c r="G1365" s="64">
        <f>+E1365*C1365</f>
        <v>0</v>
      </c>
      <c r="H1365" s="64">
        <f>+F1365*C1365</f>
        <v>0</v>
      </c>
    </row>
    <row r="1366" spans="2:8" outlineLevel="1" collapsed="1" x14ac:dyDescent="0.25">
      <c r="B1366" s="60" t="s">
        <v>367</v>
      </c>
      <c r="C1366" s="61">
        <v>108723.59</v>
      </c>
      <c r="E1366" s="62"/>
      <c r="F1366" s="62"/>
      <c r="G1366" s="63"/>
      <c r="H1366" s="63"/>
    </row>
    <row r="1367" spans="2:8" hidden="1" outlineLevel="2" x14ac:dyDescent="0.25">
      <c r="B1367" s="1" t="s">
        <v>368</v>
      </c>
      <c r="C1367" s="44">
        <v>30552.76</v>
      </c>
      <c r="E1367" s="50">
        <v>0</v>
      </c>
      <c r="F1367" s="50">
        <v>0</v>
      </c>
      <c r="G1367" s="64">
        <f t="shared" ref="G1367:G1374" si="168">+E1367*C1367</f>
        <v>0</v>
      </c>
      <c r="H1367" s="64">
        <f t="shared" ref="H1367:H1374" si="169">+F1367*C1367</f>
        <v>0</v>
      </c>
    </row>
    <row r="1368" spans="2:8" hidden="1" outlineLevel="2" x14ac:dyDescent="0.25">
      <c r="B1368" s="1" t="s">
        <v>369</v>
      </c>
      <c r="C1368" s="44">
        <v>38702.99</v>
      </c>
      <c r="E1368" s="50">
        <v>0</v>
      </c>
      <c r="F1368" s="50">
        <v>0</v>
      </c>
      <c r="G1368" s="64">
        <f t="shared" si="168"/>
        <v>0</v>
      </c>
      <c r="H1368" s="64">
        <f t="shared" si="169"/>
        <v>0</v>
      </c>
    </row>
    <row r="1369" spans="2:8" hidden="1" outlineLevel="2" x14ac:dyDescent="0.25">
      <c r="B1369" s="1" t="s">
        <v>370</v>
      </c>
      <c r="C1369" s="44">
        <v>18629.740000000002</v>
      </c>
      <c r="E1369" s="50">
        <v>0</v>
      </c>
      <c r="F1369" s="50">
        <v>0</v>
      </c>
      <c r="G1369" s="64">
        <f t="shared" si="168"/>
        <v>0</v>
      </c>
      <c r="H1369" s="64">
        <f t="shared" si="169"/>
        <v>0</v>
      </c>
    </row>
    <row r="1370" spans="2:8" hidden="1" outlineLevel="2" x14ac:dyDescent="0.25">
      <c r="B1370" s="1" t="s">
        <v>371</v>
      </c>
      <c r="C1370" s="44">
        <v>9290.0300000000007</v>
      </c>
      <c r="E1370" s="50">
        <v>0</v>
      </c>
      <c r="F1370" s="50">
        <v>0</v>
      </c>
      <c r="G1370" s="64">
        <f t="shared" si="168"/>
        <v>0</v>
      </c>
      <c r="H1370" s="64">
        <f t="shared" si="169"/>
        <v>0</v>
      </c>
    </row>
    <row r="1371" spans="2:8" hidden="1" outlineLevel="2" x14ac:dyDescent="0.25">
      <c r="B1371" s="1" t="s">
        <v>372</v>
      </c>
      <c r="C1371" s="44">
        <v>6899.9</v>
      </c>
      <c r="E1371" s="50">
        <v>0</v>
      </c>
      <c r="F1371" s="50">
        <v>0</v>
      </c>
      <c r="G1371" s="64">
        <f t="shared" si="168"/>
        <v>0</v>
      </c>
      <c r="H1371" s="64">
        <f t="shared" si="169"/>
        <v>0</v>
      </c>
    </row>
    <row r="1372" spans="2:8" hidden="1" outlineLevel="2" x14ac:dyDescent="0.25">
      <c r="B1372" s="1" t="s">
        <v>373</v>
      </c>
      <c r="C1372" s="44">
        <v>748.28</v>
      </c>
      <c r="E1372" s="50">
        <v>0</v>
      </c>
      <c r="F1372" s="50">
        <v>0</v>
      </c>
      <c r="G1372" s="64">
        <f t="shared" si="168"/>
        <v>0</v>
      </c>
      <c r="H1372" s="64">
        <f t="shared" si="169"/>
        <v>0</v>
      </c>
    </row>
    <row r="1373" spans="2:8" hidden="1" outlineLevel="2" x14ac:dyDescent="0.25">
      <c r="B1373" s="1" t="s">
        <v>374</v>
      </c>
      <c r="C1373" s="44">
        <v>1519.88</v>
      </c>
      <c r="E1373" s="50">
        <v>0</v>
      </c>
      <c r="F1373" s="50">
        <v>0</v>
      </c>
      <c r="G1373" s="64">
        <f t="shared" si="168"/>
        <v>0</v>
      </c>
      <c r="H1373" s="64">
        <f t="shared" si="169"/>
        <v>0</v>
      </c>
    </row>
    <row r="1374" spans="2:8" hidden="1" outlineLevel="2" x14ac:dyDescent="0.25">
      <c r="B1374" s="1" t="s">
        <v>375</v>
      </c>
      <c r="C1374" s="44">
        <v>2380.0100000000002</v>
      </c>
      <c r="E1374" s="50">
        <v>0</v>
      </c>
      <c r="F1374" s="50">
        <v>0</v>
      </c>
      <c r="G1374" s="64">
        <f t="shared" si="168"/>
        <v>0</v>
      </c>
      <c r="H1374" s="64">
        <f t="shared" si="169"/>
        <v>0</v>
      </c>
    </row>
    <row r="1375" spans="2:8" outlineLevel="1" collapsed="1" x14ac:dyDescent="0.25">
      <c r="B1375" s="60" t="s">
        <v>229</v>
      </c>
      <c r="C1375" s="61">
        <v>104124.45</v>
      </c>
      <c r="E1375" s="62"/>
      <c r="F1375" s="62"/>
      <c r="G1375" s="63"/>
      <c r="H1375" s="63"/>
    </row>
    <row r="1376" spans="2:8" hidden="1" outlineLevel="2" x14ac:dyDescent="0.25">
      <c r="B1376" s="1" t="s">
        <v>230</v>
      </c>
      <c r="C1376" s="44">
        <v>12127.73</v>
      </c>
      <c r="E1376" s="50">
        <v>0</v>
      </c>
      <c r="F1376" s="50">
        <v>0</v>
      </c>
      <c r="G1376" s="64">
        <f t="shared" ref="G1376:G1389" si="170">+E1376*C1376</f>
        <v>0</v>
      </c>
      <c r="H1376" s="64">
        <f t="shared" ref="H1376:H1389" si="171">+F1376*C1376</f>
        <v>0</v>
      </c>
    </row>
    <row r="1377" spans="2:8" hidden="1" outlineLevel="2" x14ac:dyDescent="0.25">
      <c r="B1377" s="1" t="s">
        <v>232</v>
      </c>
      <c r="C1377" s="44">
        <v>3363.66</v>
      </c>
      <c r="E1377" s="50">
        <v>0</v>
      </c>
      <c r="F1377" s="50">
        <v>0</v>
      </c>
      <c r="G1377" s="64">
        <f t="shared" si="170"/>
        <v>0</v>
      </c>
      <c r="H1377" s="64">
        <f t="shared" si="171"/>
        <v>0</v>
      </c>
    </row>
    <row r="1378" spans="2:8" hidden="1" outlineLevel="2" x14ac:dyDescent="0.25">
      <c r="B1378" s="1" t="s">
        <v>233</v>
      </c>
      <c r="C1378" s="44">
        <v>1950.38</v>
      </c>
      <c r="E1378" s="50">
        <v>0</v>
      </c>
      <c r="F1378" s="50">
        <v>0</v>
      </c>
      <c r="G1378" s="64">
        <f t="shared" si="170"/>
        <v>0</v>
      </c>
      <c r="H1378" s="64">
        <f t="shared" si="171"/>
        <v>0</v>
      </c>
    </row>
    <row r="1379" spans="2:8" hidden="1" outlineLevel="2" x14ac:dyDescent="0.25">
      <c r="B1379" s="1" t="s">
        <v>234</v>
      </c>
      <c r="C1379" s="44">
        <v>6835.52</v>
      </c>
      <c r="E1379" s="50">
        <v>0</v>
      </c>
      <c r="F1379" s="50">
        <v>0</v>
      </c>
      <c r="G1379" s="64">
        <f t="shared" si="170"/>
        <v>0</v>
      </c>
      <c r="H1379" s="64">
        <f t="shared" si="171"/>
        <v>0</v>
      </c>
    </row>
    <row r="1380" spans="2:8" hidden="1" outlineLevel="2" x14ac:dyDescent="0.25">
      <c r="B1380" s="1" t="s">
        <v>236</v>
      </c>
      <c r="C1380" s="44">
        <v>4973.84</v>
      </c>
      <c r="E1380" s="50">
        <v>0</v>
      </c>
      <c r="F1380" s="50">
        <v>0</v>
      </c>
      <c r="G1380" s="64">
        <f t="shared" si="170"/>
        <v>0</v>
      </c>
      <c r="H1380" s="64">
        <f t="shared" si="171"/>
        <v>0</v>
      </c>
    </row>
    <row r="1381" spans="2:8" hidden="1" outlineLevel="2" x14ac:dyDescent="0.25">
      <c r="B1381" s="1" t="s">
        <v>237</v>
      </c>
      <c r="C1381" s="44">
        <v>7460.76</v>
      </c>
      <c r="E1381" s="50">
        <v>0</v>
      </c>
      <c r="F1381" s="50">
        <v>0</v>
      </c>
      <c r="G1381" s="64">
        <f t="shared" si="170"/>
        <v>0</v>
      </c>
      <c r="H1381" s="64">
        <f t="shared" si="171"/>
        <v>0</v>
      </c>
    </row>
    <row r="1382" spans="2:8" hidden="1" outlineLevel="2" x14ac:dyDescent="0.25">
      <c r="B1382" s="1" t="s">
        <v>238</v>
      </c>
      <c r="C1382" s="44">
        <v>27397.71</v>
      </c>
      <c r="E1382" s="50">
        <v>0</v>
      </c>
      <c r="F1382" s="50">
        <v>0</v>
      </c>
      <c r="G1382" s="64">
        <f t="shared" si="170"/>
        <v>0</v>
      </c>
      <c r="H1382" s="64">
        <f t="shared" si="171"/>
        <v>0</v>
      </c>
    </row>
    <row r="1383" spans="2:8" hidden="1" outlineLevel="2" x14ac:dyDescent="0.25">
      <c r="B1383" s="1" t="s">
        <v>376</v>
      </c>
      <c r="C1383" s="44">
        <v>3461.84</v>
      </c>
      <c r="E1383" s="50">
        <v>0</v>
      </c>
      <c r="F1383" s="50">
        <v>0</v>
      </c>
      <c r="G1383" s="64">
        <f t="shared" si="170"/>
        <v>0</v>
      </c>
      <c r="H1383" s="64">
        <f t="shared" si="171"/>
        <v>0</v>
      </c>
    </row>
    <row r="1384" spans="2:8" hidden="1" outlineLevel="2" x14ac:dyDescent="0.25">
      <c r="B1384" s="1" t="s">
        <v>240</v>
      </c>
      <c r="C1384" s="44">
        <v>3911.4</v>
      </c>
      <c r="E1384" s="50">
        <v>0</v>
      </c>
      <c r="F1384" s="50">
        <v>0</v>
      </c>
      <c r="G1384" s="64">
        <f t="shared" si="170"/>
        <v>0</v>
      </c>
      <c r="H1384" s="64">
        <f t="shared" si="171"/>
        <v>0</v>
      </c>
    </row>
    <row r="1385" spans="2:8" hidden="1" outlineLevel="2" x14ac:dyDescent="0.25">
      <c r="B1385" s="1" t="s">
        <v>241</v>
      </c>
      <c r="C1385" s="44">
        <v>20762.55</v>
      </c>
      <c r="E1385" s="50">
        <v>0</v>
      </c>
      <c r="F1385" s="50">
        <v>0</v>
      </c>
      <c r="G1385" s="64">
        <f t="shared" si="170"/>
        <v>0</v>
      </c>
      <c r="H1385" s="64">
        <f t="shared" si="171"/>
        <v>0</v>
      </c>
    </row>
    <row r="1386" spans="2:8" hidden="1" outlineLevel="2" x14ac:dyDescent="0.25">
      <c r="B1386" s="1" t="s">
        <v>242</v>
      </c>
      <c r="C1386" s="44">
        <v>2863.8</v>
      </c>
      <c r="E1386" s="50">
        <v>0</v>
      </c>
      <c r="F1386" s="50">
        <v>0</v>
      </c>
      <c r="G1386" s="64">
        <f t="shared" si="170"/>
        <v>0</v>
      </c>
      <c r="H1386" s="64">
        <f t="shared" si="171"/>
        <v>0</v>
      </c>
    </row>
    <row r="1387" spans="2:8" hidden="1" outlineLevel="2" x14ac:dyDescent="0.25">
      <c r="B1387" s="1" t="s">
        <v>243</v>
      </c>
      <c r="C1387" s="44">
        <v>3432.1</v>
      </c>
      <c r="E1387" s="50">
        <v>0</v>
      </c>
      <c r="F1387" s="50">
        <v>0</v>
      </c>
      <c r="G1387" s="64">
        <f t="shared" si="170"/>
        <v>0</v>
      </c>
      <c r="H1387" s="64">
        <f t="shared" si="171"/>
        <v>0</v>
      </c>
    </row>
    <row r="1388" spans="2:8" hidden="1" outlineLevel="2" x14ac:dyDescent="0.25">
      <c r="B1388" s="1" t="s">
        <v>244</v>
      </c>
      <c r="C1388" s="44">
        <v>1908.96</v>
      </c>
      <c r="E1388" s="50">
        <v>0</v>
      </c>
      <c r="F1388" s="50">
        <v>0</v>
      </c>
      <c r="G1388" s="64">
        <f t="shared" si="170"/>
        <v>0</v>
      </c>
      <c r="H1388" s="64">
        <f t="shared" si="171"/>
        <v>0</v>
      </c>
    </row>
    <row r="1389" spans="2:8" hidden="1" outlineLevel="2" x14ac:dyDescent="0.25">
      <c r="B1389" s="1" t="s">
        <v>245</v>
      </c>
      <c r="C1389" s="44">
        <v>3674.2</v>
      </c>
      <c r="E1389" s="50">
        <v>0</v>
      </c>
      <c r="F1389" s="50">
        <v>0</v>
      </c>
      <c r="G1389" s="64">
        <f t="shared" si="170"/>
        <v>0</v>
      </c>
      <c r="H1389" s="64">
        <f t="shared" si="171"/>
        <v>0</v>
      </c>
    </row>
    <row r="1390" spans="2:8" outlineLevel="1" collapsed="1" x14ac:dyDescent="0.25">
      <c r="B1390" s="60" t="s">
        <v>247</v>
      </c>
      <c r="C1390" s="61">
        <v>60690.93</v>
      </c>
      <c r="E1390" s="62"/>
      <c r="F1390" s="62"/>
      <c r="G1390" s="63"/>
      <c r="H1390" s="63"/>
    </row>
    <row r="1391" spans="2:8" hidden="1" outlineLevel="2" x14ac:dyDescent="0.25">
      <c r="B1391" s="1" t="s">
        <v>377</v>
      </c>
      <c r="C1391" s="44">
        <v>5970.02</v>
      </c>
      <c r="E1391" s="50">
        <v>0</v>
      </c>
      <c r="F1391" s="50">
        <v>0</v>
      </c>
      <c r="G1391" s="64">
        <f t="shared" ref="G1391:G1420" si="172">+E1391*C1391</f>
        <v>0</v>
      </c>
      <c r="H1391" s="64">
        <f t="shared" ref="H1391:H1420" si="173">+F1391*C1391</f>
        <v>0</v>
      </c>
    </row>
    <row r="1392" spans="2:8" hidden="1" outlineLevel="2" x14ac:dyDescent="0.25">
      <c r="B1392" s="1" t="s">
        <v>378</v>
      </c>
      <c r="C1392" s="44">
        <v>3607.47</v>
      </c>
      <c r="E1392" s="50">
        <v>0</v>
      </c>
      <c r="F1392" s="50">
        <v>0</v>
      </c>
      <c r="G1392" s="64">
        <f t="shared" si="172"/>
        <v>0</v>
      </c>
      <c r="H1392" s="64">
        <f t="shared" si="173"/>
        <v>0</v>
      </c>
    </row>
    <row r="1393" spans="2:8" hidden="1" outlineLevel="2" x14ac:dyDescent="0.25">
      <c r="B1393" s="1" t="s">
        <v>379</v>
      </c>
      <c r="C1393" s="44">
        <v>7359.88</v>
      </c>
      <c r="E1393" s="50">
        <v>0</v>
      </c>
      <c r="F1393" s="50">
        <v>0</v>
      </c>
      <c r="G1393" s="64">
        <f t="shared" si="172"/>
        <v>0</v>
      </c>
      <c r="H1393" s="64">
        <f t="shared" si="173"/>
        <v>0</v>
      </c>
    </row>
    <row r="1394" spans="2:8" hidden="1" outlineLevel="2" x14ac:dyDescent="0.25">
      <c r="B1394" s="1" t="s">
        <v>249</v>
      </c>
      <c r="C1394" s="44">
        <v>1322.48</v>
      </c>
      <c r="E1394" s="50">
        <v>0</v>
      </c>
      <c r="F1394" s="50">
        <v>0</v>
      </c>
      <c r="G1394" s="64">
        <f t="shared" si="172"/>
        <v>0</v>
      </c>
      <c r="H1394" s="64">
        <f t="shared" si="173"/>
        <v>0</v>
      </c>
    </row>
    <row r="1395" spans="2:8" hidden="1" outlineLevel="2" x14ac:dyDescent="0.25">
      <c r="B1395" s="1" t="s">
        <v>250</v>
      </c>
      <c r="C1395" s="44">
        <v>786.65</v>
      </c>
      <c r="E1395" s="50">
        <v>0</v>
      </c>
      <c r="F1395" s="50">
        <v>0</v>
      </c>
      <c r="G1395" s="64">
        <f t="shared" si="172"/>
        <v>0</v>
      </c>
      <c r="H1395" s="64">
        <f t="shared" si="173"/>
        <v>0</v>
      </c>
    </row>
    <row r="1396" spans="2:8" hidden="1" outlineLevel="2" x14ac:dyDescent="0.25">
      <c r="B1396" s="1" t="s">
        <v>251</v>
      </c>
      <c r="C1396" s="44">
        <v>1545.82</v>
      </c>
      <c r="E1396" s="50">
        <v>0</v>
      </c>
      <c r="F1396" s="50">
        <v>0</v>
      </c>
      <c r="G1396" s="64">
        <f t="shared" si="172"/>
        <v>0</v>
      </c>
      <c r="H1396" s="64">
        <f t="shared" si="173"/>
        <v>0</v>
      </c>
    </row>
    <row r="1397" spans="2:8" hidden="1" outlineLevel="2" x14ac:dyDescent="0.25">
      <c r="B1397" s="1" t="s">
        <v>252</v>
      </c>
      <c r="C1397" s="44">
        <v>431.48</v>
      </c>
      <c r="E1397" s="50">
        <v>0</v>
      </c>
      <c r="F1397" s="50">
        <v>0</v>
      </c>
      <c r="G1397" s="64">
        <f t="shared" si="172"/>
        <v>0</v>
      </c>
      <c r="H1397" s="64">
        <f t="shared" si="173"/>
        <v>0</v>
      </c>
    </row>
    <row r="1398" spans="2:8" hidden="1" outlineLevel="2" x14ac:dyDescent="0.25">
      <c r="B1398" s="1" t="s">
        <v>253</v>
      </c>
      <c r="C1398" s="44">
        <v>4637.46</v>
      </c>
      <c r="E1398" s="50">
        <v>0</v>
      </c>
      <c r="F1398" s="50">
        <v>0</v>
      </c>
      <c r="G1398" s="64">
        <f t="shared" si="172"/>
        <v>0</v>
      </c>
      <c r="H1398" s="64">
        <f t="shared" si="173"/>
        <v>0</v>
      </c>
    </row>
    <row r="1399" spans="2:8" hidden="1" outlineLevel="2" x14ac:dyDescent="0.25">
      <c r="B1399" s="1" t="s">
        <v>254</v>
      </c>
      <c r="C1399" s="44">
        <v>0</v>
      </c>
      <c r="E1399" s="50">
        <v>0</v>
      </c>
      <c r="F1399" s="50">
        <v>0</v>
      </c>
      <c r="G1399" s="64">
        <f t="shared" si="172"/>
        <v>0</v>
      </c>
      <c r="H1399" s="64">
        <f t="shared" si="173"/>
        <v>0</v>
      </c>
    </row>
    <row r="1400" spans="2:8" hidden="1" outlineLevel="2" x14ac:dyDescent="0.25">
      <c r="B1400" s="1" t="s">
        <v>255</v>
      </c>
      <c r="C1400" s="44">
        <v>1865.46</v>
      </c>
      <c r="E1400" s="50">
        <v>0</v>
      </c>
      <c r="F1400" s="50">
        <v>0</v>
      </c>
      <c r="G1400" s="64">
        <f t="shared" si="172"/>
        <v>0</v>
      </c>
      <c r="H1400" s="64">
        <f t="shared" si="173"/>
        <v>0</v>
      </c>
    </row>
    <row r="1401" spans="2:8" hidden="1" outlineLevel="2" x14ac:dyDescent="0.25">
      <c r="B1401" s="1" t="s">
        <v>256</v>
      </c>
      <c r="C1401" s="44">
        <v>711.4</v>
      </c>
      <c r="E1401" s="50">
        <v>0</v>
      </c>
      <c r="F1401" s="50">
        <v>0</v>
      </c>
      <c r="G1401" s="64">
        <f t="shared" si="172"/>
        <v>0</v>
      </c>
      <c r="H1401" s="64">
        <f t="shared" si="173"/>
        <v>0</v>
      </c>
    </row>
    <row r="1402" spans="2:8" hidden="1" outlineLevel="2" x14ac:dyDescent="0.25">
      <c r="B1402" s="1" t="s">
        <v>257</v>
      </c>
      <c r="C1402" s="44">
        <v>564.32000000000005</v>
      </c>
      <c r="E1402" s="50">
        <v>0</v>
      </c>
      <c r="F1402" s="50">
        <v>0</v>
      </c>
      <c r="G1402" s="64">
        <f t="shared" si="172"/>
        <v>0</v>
      </c>
      <c r="H1402" s="64">
        <f t="shared" si="173"/>
        <v>0</v>
      </c>
    </row>
    <row r="1403" spans="2:8" hidden="1" outlineLevel="2" x14ac:dyDescent="0.25">
      <c r="B1403" s="1" t="s">
        <v>258</v>
      </c>
      <c r="C1403" s="44">
        <v>1422.8</v>
      </c>
      <c r="E1403" s="50">
        <v>0</v>
      </c>
      <c r="F1403" s="50">
        <v>0</v>
      </c>
      <c r="G1403" s="64">
        <f t="shared" si="172"/>
        <v>0</v>
      </c>
      <c r="H1403" s="64">
        <f t="shared" si="173"/>
        <v>0</v>
      </c>
    </row>
    <row r="1404" spans="2:8" hidden="1" outlineLevel="2" x14ac:dyDescent="0.25">
      <c r="B1404" s="1" t="s">
        <v>259</v>
      </c>
      <c r="C1404" s="44">
        <v>564.32000000000005</v>
      </c>
      <c r="E1404" s="50">
        <v>0</v>
      </c>
      <c r="F1404" s="50">
        <v>0</v>
      </c>
      <c r="G1404" s="64">
        <f t="shared" si="172"/>
        <v>0</v>
      </c>
      <c r="H1404" s="64">
        <f t="shared" si="173"/>
        <v>0</v>
      </c>
    </row>
    <row r="1405" spans="2:8" hidden="1" outlineLevel="2" x14ac:dyDescent="0.25">
      <c r="B1405" s="1" t="s">
        <v>260</v>
      </c>
      <c r="C1405" s="44">
        <v>2845.6</v>
      </c>
      <c r="E1405" s="50">
        <v>0</v>
      </c>
      <c r="F1405" s="50">
        <v>0</v>
      </c>
      <c r="G1405" s="64">
        <f t="shared" si="172"/>
        <v>0</v>
      </c>
      <c r="H1405" s="64">
        <f t="shared" si="173"/>
        <v>0</v>
      </c>
    </row>
    <row r="1406" spans="2:8" hidden="1" outlineLevel="2" x14ac:dyDescent="0.25">
      <c r="B1406" s="1" t="s">
        <v>261</v>
      </c>
      <c r="C1406" s="44">
        <v>1185</v>
      </c>
      <c r="E1406" s="50">
        <v>0</v>
      </c>
      <c r="F1406" s="50">
        <v>0</v>
      </c>
      <c r="G1406" s="64">
        <f t="shared" si="172"/>
        <v>0</v>
      </c>
      <c r="H1406" s="64">
        <f t="shared" si="173"/>
        <v>0</v>
      </c>
    </row>
    <row r="1407" spans="2:8" hidden="1" outlineLevel="2" x14ac:dyDescent="0.25">
      <c r="B1407" s="1" t="s">
        <v>262</v>
      </c>
      <c r="C1407" s="44">
        <v>1765.02</v>
      </c>
      <c r="E1407" s="50">
        <v>0</v>
      </c>
      <c r="F1407" s="50">
        <v>0</v>
      </c>
      <c r="G1407" s="64">
        <f t="shared" si="172"/>
        <v>0</v>
      </c>
      <c r="H1407" s="64">
        <f t="shared" si="173"/>
        <v>0</v>
      </c>
    </row>
    <row r="1408" spans="2:8" hidden="1" outlineLevel="2" x14ac:dyDescent="0.25">
      <c r="B1408" s="1" t="s">
        <v>263</v>
      </c>
      <c r="C1408" s="44">
        <v>2271.96</v>
      </c>
      <c r="E1408" s="50">
        <v>0</v>
      </c>
      <c r="F1408" s="50">
        <v>0</v>
      </c>
      <c r="G1408" s="64">
        <f t="shared" si="172"/>
        <v>0</v>
      </c>
      <c r="H1408" s="64">
        <f t="shared" si="173"/>
        <v>0</v>
      </c>
    </row>
    <row r="1409" spans="2:8" hidden="1" outlineLevel="2" x14ac:dyDescent="0.25">
      <c r="B1409" s="1" t="s">
        <v>264</v>
      </c>
      <c r="C1409" s="44">
        <v>1176.68</v>
      </c>
      <c r="E1409" s="50">
        <v>0</v>
      </c>
      <c r="F1409" s="50">
        <v>0</v>
      </c>
      <c r="G1409" s="64">
        <f t="shared" si="172"/>
        <v>0</v>
      </c>
      <c r="H1409" s="64">
        <f t="shared" si="173"/>
        <v>0</v>
      </c>
    </row>
    <row r="1410" spans="2:8" hidden="1" outlineLevel="2" x14ac:dyDescent="0.25">
      <c r="B1410" s="1" t="s">
        <v>265</v>
      </c>
      <c r="C1410" s="44">
        <v>592.5</v>
      </c>
      <c r="E1410" s="50">
        <v>0</v>
      </c>
      <c r="F1410" s="50">
        <v>0</v>
      </c>
      <c r="G1410" s="64">
        <f t="shared" si="172"/>
        <v>0</v>
      </c>
      <c r="H1410" s="64">
        <f t="shared" si="173"/>
        <v>0</v>
      </c>
    </row>
    <row r="1411" spans="2:8" hidden="1" outlineLevel="2" x14ac:dyDescent="0.25">
      <c r="B1411" s="1" t="s">
        <v>266</v>
      </c>
      <c r="C1411" s="44">
        <v>4417.83</v>
      </c>
      <c r="E1411" s="50">
        <v>0</v>
      </c>
      <c r="F1411" s="50">
        <v>0</v>
      </c>
      <c r="G1411" s="64">
        <f t="shared" si="172"/>
        <v>0</v>
      </c>
      <c r="H1411" s="64">
        <f t="shared" si="173"/>
        <v>0</v>
      </c>
    </row>
    <row r="1412" spans="2:8" hidden="1" outlineLevel="2" x14ac:dyDescent="0.25">
      <c r="B1412" s="1" t="s">
        <v>267</v>
      </c>
      <c r="C1412" s="44">
        <v>2656.08</v>
      </c>
      <c r="E1412" s="50">
        <v>0</v>
      </c>
      <c r="F1412" s="50">
        <v>0</v>
      </c>
      <c r="G1412" s="64">
        <f t="shared" si="172"/>
        <v>0</v>
      </c>
      <c r="H1412" s="64">
        <f t="shared" si="173"/>
        <v>0</v>
      </c>
    </row>
    <row r="1413" spans="2:8" hidden="1" outlineLevel="2" x14ac:dyDescent="0.25">
      <c r="B1413" s="1" t="s">
        <v>268</v>
      </c>
      <c r="C1413" s="44">
        <v>5226.34</v>
      </c>
      <c r="E1413" s="50">
        <v>0</v>
      </c>
      <c r="F1413" s="50">
        <v>0</v>
      </c>
      <c r="G1413" s="64">
        <f t="shared" si="172"/>
        <v>0</v>
      </c>
      <c r="H1413" s="64">
        <f t="shared" si="173"/>
        <v>0</v>
      </c>
    </row>
    <row r="1414" spans="2:8" hidden="1" outlineLevel="2" x14ac:dyDescent="0.25">
      <c r="B1414" s="1" t="s">
        <v>380</v>
      </c>
      <c r="C1414" s="44">
        <v>1306.58</v>
      </c>
      <c r="E1414" s="50">
        <v>0</v>
      </c>
      <c r="F1414" s="50">
        <v>0</v>
      </c>
      <c r="G1414" s="64">
        <f t="shared" si="172"/>
        <v>0</v>
      </c>
      <c r="H1414" s="64">
        <f t="shared" si="173"/>
        <v>0</v>
      </c>
    </row>
    <row r="1415" spans="2:8" hidden="1" outlineLevel="2" x14ac:dyDescent="0.25">
      <c r="B1415" s="1" t="s">
        <v>381</v>
      </c>
      <c r="C1415" s="44">
        <v>287.5</v>
      </c>
      <c r="E1415" s="50">
        <v>0</v>
      </c>
      <c r="F1415" s="50">
        <v>0</v>
      </c>
      <c r="G1415" s="64">
        <f t="shared" si="172"/>
        <v>0</v>
      </c>
      <c r="H1415" s="64">
        <f t="shared" si="173"/>
        <v>0</v>
      </c>
    </row>
    <row r="1416" spans="2:8" hidden="1" outlineLevel="2" x14ac:dyDescent="0.25">
      <c r="B1416" s="1" t="s">
        <v>382</v>
      </c>
      <c r="C1416" s="44">
        <v>287.5</v>
      </c>
      <c r="E1416" s="50">
        <v>0</v>
      </c>
      <c r="F1416" s="50">
        <v>0</v>
      </c>
      <c r="G1416" s="64">
        <f t="shared" si="172"/>
        <v>0</v>
      </c>
      <c r="H1416" s="64">
        <f t="shared" si="173"/>
        <v>0</v>
      </c>
    </row>
    <row r="1417" spans="2:8" hidden="1" outlineLevel="2" x14ac:dyDescent="0.25">
      <c r="B1417" s="1" t="s">
        <v>383</v>
      </c>
      <c r="C1417" s="44">
        <v>2157.4</v>
      </c>
      <c r="E1417" s="50">
        <v>0</v>
      </c>
      <c r="F1417" s="50">
        <v>0</v>
      </c>
      <c r="G1417" s="64">
        <f t="shared" si="172"/>
        <v>0</v>
      </c>
      <c r="H1417" s="64">
        <f t="shared" si="173"/>
        <v>0</v>
      </c>
    </row>
    <row r="1418" spans="2:8" hidden="1" outlineLevel="2" x14ac:dyDescent="0.25">
      <c r="B1418" s="1" t="s">
        <v>384</v>
      </c>
      <c r="C1418" s="44">
        <v>2318.73</v>
      </c>
      <c r="E1418" s="50">
        <v>0</v>
      </c>
      <c r="F1418" s="50">
        <v>0</v>
      </c>
      <c r="G1418" s="64">
        <f t="shared" si="172"/>
        <v>0</v>
      </c>
      <c r="H1418" s="64">
        <f t="shared" si="173"/>
        <v>0</v>
      </c>
    </row>
    <row r="1419" spans="2:8" hidden="1" outlineLevel="2" x14ac:dyDescent="0.25">
      <c r="B1419" s="1" t="s">
        <v>269</v>
      </c>
      <c r="C1419" s="44">
        <v>663.84</v>
      </c>
      <c r="E1419" s="50">
        <v>0</v>
      </c>
      <c r="F1419" s="50">
        <v>0</v>
      </c>
      <c r="G1419" s="64">
        <f t="shared" si="172"/>
        <v>0</v>
      </c>
      <c r="H1419" s="64">
        <f t="shared" si="173"/>
        <v>0</v>
      </c>
    </row>
    <row r="1420" spans="2:8" hidden="1" outlineLevel="2" x14ac:dyDescent="0.25">
      <c r="B1420" s="1" t="s">
        <v>270</v>
      </c>
      <c r="C1420" s="44">
        <v>742.81</v>
      </c>
      <c r="E1420" s="50">
        <v>0</v>
      </c>
      <c r="F1420" s="50">
        <v>0</v>
      </c>
      <c r="G1420" s="64">
        <f t="shared" si="172"/>
        <v>0</v>
      </c>
      <c r="H1420" s="64">
        <f t="shared" si="173"/>
        <v>0</v>
      </c>
    </row>
    <row r="1421" spans="2:8" outlineLevel="1" collapsed="1" x14ac:dyDescent="0.25">
      <c r="B1421" s="60" t="s">
        <v>271</v>
      </c>
      <c r="C1421" s="61">
        <v>12289.42</v>
      </c>
      <c r="E1421" s="62">
        <f>+G1421/C1421</f>
        <v>0</v>
      </c>
      <c r="F1421" s="62">
        <f>+H1421/C1421</f>
        <v>1</v>
      </c>
      <c r="G1421" s="63">
        <f>+G1422+G1423</f>
        <v>0</v>
      </c>
      <c r="H1421" s="63">
        <f>+H1422+H1423</f>
        <v>12289.42</v>
      </c>
    </row>
    <row r="1422" spans="2:8" hidden="1" outlineLevel="2" x14ac:dyDescent="0.25">
      <c r="B1422" s="1" t="s">
        <v>272</v>
      </c>
      <c r="C1422" s="44">
        <v>11607.8</v>
      </c>
      <c r="E1422" s="50">
        <v>0</v>
      </c>
      <c r="F1422" s="50">
        <v>1</v>
      </c>
      <c r="G1422" s="64">
        <f>+E1422*C1422</f>
        <v>0</v>
      </c>
      <c r="H1422" s="64">
        <f>+F1422*C1422</f>
        <v>11607.8</v>
      </c>
    </row>
    <row r="1423" spans="2:8" hidden="1" outlineLevel="2" x14ac:dyDescent="0.25">
      <c r="B1423" s="1" t="s">
        <v>81</v>
      </c>
      <c r="C1423" s="44">
        <v>681.62</v>
      </c>
      <c r="E1423" s="50">
        <v>0</v>
      </c>
      <c r="F1423" s="50">
        <v>1</v>
      </c>
      <c r="G1423" s="64">
        <f>+E1423*C1423</f>
        <v>0</v>
      </c>
      <c r="H1423" s="64">
        <f>+F1423*C1423</f>
        <v>681.62</v>
      </c>
    </row>
    <row r="1424" spans="2:8" outlineLevel="1" collapsed="1" x14ac:dyDescent="0.25">
      <c r="B1424" s="60" t="s">
        <v>273</v>
      </c>
      <c r="C1424" s="61">
        <v>47416.79</v>
      </c>
      <c r="E1424" s="62"/>
      <c r="F1424" s="62"/>
      <c r="G1424" s="63"/>
      <c r="H1424" s="63"/>
    </row>
    <row r="1425" spans="2:8" hidden="1" outlineLevel="2" x14ac:dyDescent="0.25">
      <c r="B1425" s="1" t="s">
        <v>385</v>
      </c>
      <c r="C1425" s="44">
        <v>13692.87</v>
      </c>
      <c r="E1425" s="50">
        <v>0</v>
      </c>
      <c r="F1425" s="50">
        <v>0</v>
      </c>
      <c r="G1425" s="64">
        <f t="shared" ref="G1425:G1433" si="174">+E1425*C1425</f>
        <v>0</v>
      </c>
      <c r="H1425" s="64">
        <f t="shared" ref="H1425:H1433" si="175">+F1425*C1425</f>
        <v>0</v>
      </c>
    </row>
    <row r="1426" spans="2:8" hidden="1" outlineLevel="2" x14ac:dyDescent="0.25">
      <c r="B1426" s="1" t="s">
        <v>386</v>
      </c>
      <c r="C1426" s="44">
        <v>1447.83</v>
      </c>
      <c r="E1426" s="50">
        <v>0</v>
      </c>
      <c r="F1426" s="50">
        <v>0</v>
      </c>
      <c r="G1426" s="64">
        <f t="shared" si="174"/>
        <v>0</v>
      </c>
      <c r="H1426" s="64">
        <f t="shared" si="175"/>
        <v>0</v>
      </c>
    </row>
    <row r="1427" spans="2:8" hidden="1" outlineLevel="2" x14ac:dyDescent="0.25">
      <c r="B1427" s="1" t="s">
        <v>387</v>
      </c>
      <c r="C1427" s="44">
        <v>7359.9</v>
      </c>
      <c r="E1427" s="50">
        <v>0</v>
      </c>
      <c r="F1427" s="50">
        <v>0</v>
      </c>
      <c r="G1427" s="64">
        <f t="shared" si="174"/>
        <v>0</v>
      </c>
      <c r="H1427" s="64">
        <f t="shared" si="175"/>
        <v>0</v>
      </c>
    </row>
    <row r="1428" spans="2:8" hidden="1" outlineLevel="2" x14ac:dyDescent="0.25">
      <c r="B1428" s="1" t="s">
        <v>388</v>
      </c>
      <c r="C1428" s="44">
        <v>5979.92</v>
      </c>
      <c r="E1428" s="50">
        <v>0</v>
      </c>
      <c r="F1428" s="50">
        <v>0</v>
      </c>
      <c r="G1428" s="64">
        <f t="shared" si="174"/>
        <v>0</v>
      </c>
      <c r="H1428" s="64">
        <f t="shared" si="175"/>
        <v>0</v>
      </c>
    </row>
    <row r="1429" spans="2:8" hidden="1" outlineLevel="2" x14ac:dyDescent="0.25">
      <c r="B1429" s="1" t="s">
        <v>389</v>
      </c>
      <c r="C1429" s="44">
        <v>3255.54</v>
      </c>
      <c r="E1429" s="50">
        <v>0</v>
      </c>
      <c r="F1429" s="50">
        <v>0</v>
      </c>
      <c r="G1429" s="64">
        <f t="shared" si="174"/>
        <v>0</v>
      </c>
      <c r="H1429" s="64">
        <f t="shared" si="175"/>
        <v>0</v>
      </c>
    </row>
    <row r="1430" spans="2:8" hidden="1" outlineLevel="2" x14ac:dyDescent="0.25">
      <c r="B1430" s="1" t="s">
        <v>390</v>
      </c>
      <c r="C1430" s="44">
        <v>4242.66</v>
      </c>
      <c r="E1430" s="50">
        <v>0</v>
      </c>
      <c r="F1430" s="50">
        <v>0</v>
      </c>
      <c r="G1430" s="64">
        <f t="shared" si="174"/>
        <v>0</v>
      </c>
      <c r="H1430" s="64">
        <f t="shared" si="175"/>
        <v>0</v>
      </c>
    </row>
    <row r="1431" spans="2:8" hidden="1" outlineLevel="2" x14ac:dyDescent="0.25">
      <c r="B1431" s="1" t="s">
        <v>391</v>
      </c>
      <c r="C1431" s="44">
        <v>5242.8599999999997</v>
      </c>
      <c r="E1431" s="50">
        <v>0</v>
      </c>
      <c r="F1431" s="50">
        <v>0</v>
      </c>
      <c r="G1431" s="64">
        <f t="shared" si="174"/>
        <v>0</v>
      </c>
      <c r="H1431" s="64">
        <f t="shared" si="175"/>
        <v>0</v>
      </c>
    </row>
    <row r="1432" spans="2:8" hidden="1" outlineLevel="2" x14ac:dyDescent="0.25">
      <c r="B1432" s="1" t="s">
        <v>392</v>
      </c>
      <c r="C1432" s="44">
        <v>4950.6899999999996</v>
      </c>
      <c r="E1432" s="50">
        <v>0</v>
      </c>
      <c r="F1432" s="50">
        <v>0</v>
      </c>
      <c r="G1432" s="64">
        <f t="shared" si="174"/>
        <v>0</v>
      </c>
      <c r="H1432" s="64">
        <f t="shared" si="175"/>
        <v>0</v>
      </c>
    </row>
    <row r="1433" spans="2:8" hidden="1" outlineLevel="2" x14ac:dyDescent="0.25">
      <c r="B1433" s="1" t="s">
        <v>393</v>
      </c>
      <c r="C1433" s="44">
        <v>1244.52</v>
      </c>
      <c r="E1433" s="50">
        <v>0</v>
      </c>
      <c r="F1433" s="50">
        <v>0</v>
      </c>
      <c r="G1433" s="64">
        <f t="shared" si="174"/>
        <v>0</v>
      </c>
      <c r="H1433" s="64">
        <f t="shared" si="175"/>
        <v>0</v>
      </c>
    </row>
    <row r="1434" spans="2:8" outlineLevel="1" collapsed="1" x14ac:dyDescent="0.25">
      <c r="B1434" s="60" t="s">
        <v>282</v>
      </c>
      <c r="C1434" s="61">
        <v>34791.15</v>
      </c>
      <c r="E1434" s="62"/>
      <c r="F1434" s="62"/>
      <c r="G1434" s="63"/>
      <c r="H1434" s="63"/>
    </row>
    <row r="1435" spans="2:8" hidden="1" outlineLevel="2" x14ac:dyDescent="0.25">
      <c r="B1435" s="1" t="s">
        <v>283</v>
      </c>
      <c r="C1435" s="44">
        <v>1197.02</v>
      </c>
      <c r="E1435" s="50">
        <v>0</v>
      </c>
      <c r="F1435" s="50">
        <v>0</v>
      </c>
      <c r="G1435" s="64">
        <f t="shared" ref="G1435:G1440" si="176">+E1435*C1435</f>
        <v>0</v>
      </c>
      <c r="H1435" s="64">
        <f t="shared" ref="H1435:H1440" si="177">+F1435*C1435</f>
        <v>0</v>
      </c>
    </row>
    <row r="1436" spans="2:8" hidden="1" outlineLevel="2" x14ac:dyDescent="0.25">
      <c r="B1436" s="1" t="s">
        <v>284</v>
      </c>
      <c r="C1436" s="44">
        <v>1437.48</v>
      </c>
      <c r="E1436" s="50">
        <v>0</v>
      </c>
      <c r="F1436" s="50">
        <v>0</v>
      </c>
      <c r="G1436" s="64">
        <f t="shared" si="176"/>
        <v>0</v>
      </c>
      <c r="H1436" s="64">
        <f t="shared" si="177"/>
        <v>0</v>
      </c>
    </row>
    <row r="1437" spans="2:8" hidden="1" outlineLevel="2" x14ac:dyDescent="0.25">
      <c r="B1437" s="1" t="s">
        <v>285</v>
      </c>
      <c r="C1437" s="44">
        <v>431.24</v>
      </c>
      <c r="E1437" s="50">
        <v>0</v>
      </c>
      <c r="F1437" s="50">
        <v>0</v>
      </c>
      <c r="G1437" s="64">
        <f t="shared" si="176"/>
        <v>0</v>
      </c>
      <c r="H1437" s="64">
        <f t="shared" si="177"/>
        <v>0</v>
      </c>
    </row>
    <row r="1438" spans="2:8" hidden="1" outlineLevel="2" x14ac:dyDescent="0.25">
      <c r="B1438" s="1" t="s">
        <v>286</v>
      </c>
      <c r="C1438" s="44">
        <v>7647.39</v>
      </c>
      <c r="E1438" s="50">
        <v>0</v>
      </c>
      <c r="F1438" s="50">
        <v>0</v>
      </c>
      <c r="G1438" s="64">
        <f t="shared" si="176"/>
        <v>0</v>
      </c>
      <c r="H1438" s="64">
        <f t="shared" si="177"/>
        <v>0</v>
      </c>
    </row>
    <row r="1439" spans="2:8" hidden="1" outlineLevel="2" x14ac:dyDescent="0.25">
      <c r="B1439" s="1" t="s">
        <v>287</v>
      </c>
      <c r="C1439" s="44">
        <v>10349.86</v>
      </c>
      <c r="E1439" s="50">
        <v>0</v>
      </c>
      <c r="F1439" s="50">
        <v>0</v>
      </c>
      <c r="G1439" s="64">
        <f t="shared" si="176"/>
        <v>0</v>
      </c>
      <c r="H1439" s="64">
        <f t="shared" si="177"/>
        <v>0</v>
      </c>
    </row>
    <row r="1440" spans="2:8" hidden="1" outlineLevel="2" x14ac:dyDescent="0.25">
      <c r="B1440" s="1" t="s">
        <v>288</v>
      </c>
      <c r="C1440" s="44">
        <v>13728.16</v>
      </c>
      <c r="E1440" s="50">
        <v>0</v>
      </c>
      <c r="F1440" s="50">
        <v>0</v>
      </c>
      <c r="G1440" s="64">
        <f t="shared" si="176"/>
        <v>0</v>
      </c>
      <c r="H1440" s="64">
        <f t="shared" si="177"/>
        <v>0</v>
      </c>
    </row>
    <row r="1441" spans="2:8" outlineLevel="1" collapsed="1" x14ac:dyDescent="0.25">
      <c r="B1441" s="60" t="s">
        <v>289</v>
      </c>
      <c r="C1441" s="61">
        <v>45313.31</v>
      </c>
      <c r="E1441" s="62"/>
      <c r="F1441" s="62"/>
      <c r="G1441" s="63"/>
      <c r="H1441" s="63"/>
    </row>
    <row r="1442" spans="2:8" hidden="1" outlineLevel="2" x14ac:dyDescent="0.25">
      <c r="B1442" s="1" t="s">
        <v>394</v>
      </c>
      <c r="C1442" s="44">
        <v>1472.5</v>
      </c>
      <c r="E1442" s="50">
        <v>0</v>
      </c>
      <c r="F1442" s="50">
        <v>0</v>
      </c>
      <c r="G1442" s="64">
        <f t="shared" ref="G1442:G1449" si="178">+E1442*C1442</f>
        <v>0</v>
      </c>
      <c r="H1442" s="64">
        <f t="shared" ref="H1442:H1449" si="179">+F1442*C1442</f>
        <v>0</v>
      </c>
    </row>
    <row r="1443" spans="2:8" hidden="1" outlineLevel="2" x14ac:dyDescent="0.25">
      <c r="B1443" s="1" t="s">
        <v>395</v>
      </c>
      <c r="C1443" s="44">
        <v>3219.96</v>
      </c>
      <c r="E1443" s="50">
        <v>0</v>
      </c>
      <c r="F1443" s="50">
        <v>0</v>
      </c>
      <c r="G1443" s="64">
        <f t="shared" si="178"/>
        <v>0</v>
      </c>
      <c r="H1443" s="64">
        <f t="shared" si="179"/>
        <v>0</v>
      </c>
    </row>
    <row r="1444" spans="2:8" hidden="1" outlineLevel="2" x14ac:dyDescent="0.25">
      <c r="B1444" s="1" t="s">
        <v>396</v>
      </c>
      <c r="C1444" s="44">
        <v>9168.7800000000007</v>
      </c>
      <c r="E1444" s="50">
        <v>0</v>
      </c>
      <c r="F1444" s="50">
        <v>0</v>
      </c>
      <c r="G1444" s="64">
        <f t="shared" si="178"/>
        <v>0</v>
      </c>
      <c r="H1444" s="64">
        <f t="shared" si="179"/>
        <v>0</v>
      </c>
    </row>
    <row r="1445" spans="2:8" hidden="1" outlineLevel="2" x14ac:dyDescent="0.25">
      <c r="B1445" s="1" t="s">
        <v>397</v>
      </c>
      <c r="C1445" s="44">
        <v>3104.94</v>
      </c>
      <c r="E1445" s="50">
        <v>0</v>
      </c>
      <c r="F1445" s="50">
        <v>0</v>
      </c>
      <c r="G1445" s="64">
        <f t="shared" si="178"/>
        <v>0</v>
      </c>
      <c r="H1445" s="64">
        <f t="shared" si="179"/>
        <v>0</v>
      </c>
    </row>
    <row r="1446" spans="2:8" hidden="1" outlineLevel="2" x14ac:dyDescent="0.25">
      <c r="B1446" s="1" t="s">
        <v>398</v>
      </c>
      <c r="C1446" s="44">
        <v>19319.759999999998</v>
      </c>
      <c r="E1446" s="50">
        <v>0</v>
      </c>
      <c r="F1446" s="50">
        <v>0</v>
      </c>
      <c r="G1446" s="64">
        <f t="shared" si="178"/>
        <v>0</v>
      </c>
      <c r="H1446" s="64">
        <f t="shared" si="179"/>
        <v>0</v>
      </c>
    </row>
    <row r="1447" spans="2:8" hidden="1" outlineLevel="2" x14ac:dyDescent="0.25">
      <c r="B1447" s="1" t="s">
        <v>399</v>
      </c>
      <c r="C1447" s="44">
        <v>7129.92</v>
      </c>
      <c r="E1447" s="50">
        <v>0</v>
      </c>
      <c r="F1447" s="50">
        <v>0</v>
      </c>
      <c r="G1447" s="64">
        <f t="shared" si="178"/>
        <v>0</v>
      </c>
      <c r="H1447" s="64">
        <f t="shared" si="179"/>
        <v>0</v>
      </c>
    </row>
    <row r="1448" spans="2:8" hidden="1" outlineLevel="2" x14ac:dyDescent="0.25">
      <c r="B1448" s="1" t="s">
        <v>400</v>
      </c>
      <c r="C1448" s="44">
        <v>0</v>
      </c>
      <c r="E1448" s="50">
        <v>0</v>
      </c>
      <c r="F1448" s="50">
        <v>0</v>
      </c>
      <c r="G1448" s="64">
        <f t="shared" si="178"/>
        <v>0</v>
      </c>
      <c r="H1448" s="64">
        <f t="shared" si="179"/>
        <v>0</v>
      </c>
    </row>
    <row r="1449" spans="2:8" hidden="1" outlineLevel="2" x14ac:dyDescent="0.25">
      <c r="B1449" s="1" t="s">
        <v>401</v>
      </c>
      <c r="C1449" s="44">
        <v>1897.45</v>
      </c>
      <c r="E1449" s="50">
        <v>0</v>
      </c>
      <c r="F1449" s="50">
        <v>0</v>
      </c>
      <c r="G1449" s="64">
        <f t="shared" si="178"/>
        <v>0</v>
      </c>
      <c r="H1449" s="64">
        <f t="shared" si="179"/>
        <v>0</v>
      </c>
    </row>
    <row r="1450" spans="2:8" outlineLevel="1" collapsed="1" x14ac:dyDescent="0.25">
      <c r="B1450" s="60" t="s">
        <v>402</v>
      </c>
      <c r="C1450" s="61">
        <v>861.34</v>
      </c>
      <c r="E1450" s="62"/>
      <c r="F1450" s="62"/>
      <c r="G1450" s="63"/>
      <c r="H1450" s="63"/>
    </row>
    <row r="1451" spans="2:8" hidden="1" outlineLevel="2" x14ac:dyDescent="0.25">
      <c r="B1451" s="1" t="s">
        <v>403</v>
      </c>
      <c r="C1451" s="44">
        <v>861.34</v>
      </c>
      <c r="E1451" s="50">
        <v>0</v>
      </c>
      <c r="F1451" s="50">
        <v>0</v>
      </c>
      <c r="G1451" s="64">
        <f>+E1451*C1451</f>
        <v>0</v>
      </c>
      <c r="H1451" s="64">
        <f>+F1451*C1451</f>
        <v>0</v>
      </c>
    </row>
    <row r="1452" spans="2:8" outlineLevel="1" collapsed="1" x14ac:dyDescent="0.25">
      <c r="B1452" s="60" t="s">
        <v>297</v>
      </c>
      <c r="C1452" s="61">
        <v>24252.36</v>
      </c>
      <c r="E1452" s="62"/>
      <c r="F1452" s="62"/>
      <c r="G1452" s="63"/>
      <c r="H1452" s="63"/>
    </row>
    <row r="1453" spans="2:8" hidden="1" outlineLevel="2" x14ac:dyDescent="0.25">
      <c r="B1453" s="1" t="s">
        <v>246</v>
      </c>
      <c r="C1453" s="44">
        <v>9859.86</v>
      </c>
      <c r="E1453" s="50">
        <v>0</v>
      </c>
      <c r="F1453" s="50">
        <v>0</v>
      </c>
      <c r="G1453" s="64">
        <f>+E1453*C1453</f>
        <v>0</v>
      </c>
      <c r="H1453" s="64">
        <f>+F1453*C1453</f>
        <v>0</v>
      </c>
    </row>
    <row r="1454" spans="2:8" hidden="1" outlineLevel="2" x14ac:dyDescent="0.25">
      <c r="B1454" s="1" t="s">
        <v>298</v>
      </c>
      <c r="C1454" s="44">
        <v>14392.5</v>
      </c>
      <c r="E1454" s="50">
        <v>0</v>
      </c>
      <c r="F1454" s="50">
        <v>0</v>
      </c>
      <c r="G1454" s="64">
        <f>+E1454*C1454</f>
        <v>0</v>
      </c>
      <c r="H1454" s="64">
        <f>+F1454*C1454</f>
        <v>0</v>
      </c>
    </row>
    <row r="1455" spans="2:8" outlineLevel="1" collapsed="1" x14ac:dyDescent="0.25">
      <c r="B1455" s="60" t="s">
        <v>293</v>
      </c>
      <c r="C1455" s="61">
        <v>21640</v>
      </c>
      <c r="E1455" s="62"/>
      <c r="F1455" s="62"/>
      <c r="G1455" s="63"/>
      <c r="H1455" s="63"/>
    </row>
    <row r="1456" spans="2:8" hidden="1" outlineLevel="2" x14ac:dyDescent="0.25">
      <c r="B1456" s="1" t="s">
        <v>294</v>
      </c>
      <c r="C1456" s="44">
        <v>14290.2</v>
      </c>
      <c r="E1456" s="50">
        <v>0</v>
      </c>
      <c r="F1456" s="50">
        <v>0</v>
      </c>
      <c r="G1456" s="64">
        <f>+E1456*C1456</f>
        <v>0</v>
      </c>
      <c r="H1456" s="64">
        <f>+F1456*C1456</f>
        <v>0</v>
      </c>
    </row>
    <row r="1457" spans="2:10" hidden="1" outlineLevel="2" x14ac:dyDescent="0.25">
      <c r="B1457" s="1" t="s">
        <v>295</v>
      </c>
      <c r="C1457" s="44">
        <v>5509.8</v>
      </c>
      <c r="E1457" s="50">
        <v>0</v>
      </c>
      <c r="F1457" s="50">
        <v>0</v>
      </c>
      <c r="G1457" s="64">
        <f>+E1457*C1457</f>
        <v>0</v>
      </c>
      <c r="H1457" s="64">
        <f>+F1457*C1457</f>
        <v>0</v>
      </c>
    </row>
    <row r="1458" spans="2:10" hidden="1" outlineLevel="2" x14ac:dyDescent="0.25">
      <c r="B1458" s="1" t="s">
        <v>296</v>
      </c>
      <c r="C1458" s="44">
        <v>1840</v>
      </c>
      <c r="E1458" s="50">
        <v>0</v>
      </c>
      <c r="F1458" s="50">
        <v>0</v>
      </c>
      <c r="G1458" s="64">
        <f>+E1458*C1458</f>
        <v>0</v>
      </c>
      <c r="H1458" s="64">
        <f>+F1458*C1458</f>
        <v>0</v>
      </c>
    </row>
    <row r="1459" spans="2:10" outlineLevel="1" collapsed="1" x14ac:dyDescent="0.25">
      <c r="C1459" s="44"/>
      <c r="G1459" s="64"/>
      <c r="H1459" s="64"/>
    </row>
    <row r="1460" spans="2:10" x14ac:dyDescent="0.25">
      <c r="B1460" s="45" t="s">
        <v>77</v>
      </c>
      <c r="C1460" s="46">
        <f>+C1461+C1463+C1466+C1493+C1508+C1510+C1536+C1548+C1563+C1571+C1574+C1577+C1596+C1601+C1608+C1623+C1625+C1628+C1635+C1640+C1658+C1684+C1687+C1696+C1703+C1707+C1711</f>
        <v>1720903.2199999995</v>
      </c>
      <c r="E1460" s="59">
        <f>+G1460/C1460</f>
        <v>4.2489367298644498E-2</v>
      </c>
      <c r="F1460" s="59">
        <f>+H1460/C1460</f>
        <v>1.7571063351255748E-2</v>
      </c>
      <c r="G1460" s="58">
        <f>+G1461+G1463+G1466+G1684</f>
        <v>73120.088999999993</v>
      </c>
      <c r="H1460" s="58">
        <f>+H1461+H1463+H1466+H1684</f>
        <v>30238.099499999997</v>
      </c>
      <c r="J1460" s="97">
        <f t="shared" ref="J1460:J1466" si="180">+F1460-E1460</f>
        <v>-2.491830394738875E-2</v>
      </c>
    </row>
    <row r="1461" spans="2:10" outlineLevel="1" x14ac:dyDescent="0.25">
      <c r="B1461" s="60" t="s">
        <v>78</v>
      </c>
      <c r="C1461" s="61">
        <v>2101.94</v>
      </c>
      <c r="E1461" s="62">
        <f>+G1461/C1461</f>
        <v>1</v>
      </c>
      <c r="F1461" s="62">
        <f>+H1461/C1461</f>
        <v>1</v>
      </c>
      <c r="G1461" s="63">
        <f>+G1462</f>
        <v>2101.94</v>
      </c>
      <c r="H1461" s="63">
        <f>+H1462</f>
        <v>2101.94</v>
      </c>
      <c r="J1461" s="79">
        <f t="shared" si="180"/>
        <v>0</v>
      </c>
    </row>
    <row r="1462" spans="2:10" hidden="1" outlineLevel="2" x14ac:dyDescent="0.25">
      <c r="B1462" s="1" t="s">
        <v>79</v>
      </c>
      <c r="C1462" s="44">
        <v>2101.94</v>
      </c>
      <c r="E1462" s="50">
        <v>1</v>
      </c>
      <c r="F1462" s="50">
        <v>1</v>
      </c>
      <c r="G1462" s="51">
        <f>+E1462*C1462</f>
        <v>2101.94</v>
      </c>
      <c r="H1462" s="51">
        <f>+F1462*C1462</f>
        <v>2101.94</v>
      </c>
      <c r="J1462" s="79">
        <f t="shared" si="180"/>
        <v>0</v>
      </c>
    </row>
    <row r="1463" spans="2:10" outlineLevel="1" collapsed="1" x14ac:dyDescent="0.25">
      <c r="B1463" s="60" t="s">
        <v>80</v>
      </c>
      <c r="C1463" s="61">
        <v>3471.96</v>
      </c>
      <c r="E1463" s="62">
        <f>+G1463/C1463</f>
        <v>1</v>
      </c>
      <c r="F1463" s="62">
        <f>+H1463/C1463</f>
        <v>1</v>
      </c>
      <c r="G1463" s="63">
        <f>+G1464+G1465</f>
        <v>3471.96</v>
      </c>
      <c r="H1463" s="63">
        <f>+H1464+H1465</f>
        <v>3471.96</v>
      </c>
      <c r="J1463" s="79">
        <f t="shared" si="180"/>
        <v>0</v>
      </c>
    </row>
    <row r="1464" spans="2:10" hidden="1" outlineLevel="2" x14ac:dyDescent="0.25">
      <c r="B1464" s="1" t="s">
        <v>81</v>
      </c>
      <c r="C1464" s="44">
        <v>3471.96</v>
      </c>
      <c r="E1464" s="50">
        <v>1</v>
      </c>
      <c r="F1464" s="50">
        <v>1</v>
      </c>
      <c r="G1464" s="51">
        <f>+E1464*C1464</f>
        <v>3471.96</v>
      </c>
      <c r="H1464" s="51">
        <f>+F1464*C1464</f>
        <v>3471.96</v>
      </c>
      <c r="J1464" s="79">
        <f t="shared" si="180"/>
        <v>0</v>
      </c>
    </row>
    <row r="1465" spans="2:10" hidden="1" outlineLevel="2" x14ac:dyDescent="0.25">
      <c r="B1465" s="1" t="s">
        <v>82</v>
      </c>
      <c r="C1465" s="44">
        <v>0</v>
      </c>
      <c r="E1465" s="50">
        <v>1</v>
      </c>
      <c r="F1465" s="50">
        <v>1</v>
      </c>
      <c r="G1465" s="51">
        <f>+E1465*C1465</f>
        <v>0</v>
      </c>
      <c r="H1465" s="51">
        <f>+F1465*C1465</f>
        <v>0</v>
      </c>
      <c r="J1465" s="79">
        <f t="shared" si="180"/>
        <v>0</v>
      </c>
    </row>
    <row r="1466" spans="2:10" outlineLevel="1" collapsed="1" x14ac:dyDescent="0.25">
      <c r="B1466" s="60" t="s">
        <v>83</v>
      </c>
      <c r="C1466" s="61">
        <v>114357.79</v>
      </c>
      <c r="E1466" s="62">
        <f>+G1466/C1466</f>
        <v>0.5906566487512569</v>
      </c>
      <c r="F1466" s="62">
        <f>+H1466/C1466</f>
        <v>0.21567572703180077</v>
      </c>
      <c r="G1466" s="63">
        <f>SUM(G1467:G1492)</f>
        <v>67546.188999999998</v>
      </c>
      <c r="H1466" s="63">
        <f>SUM(H1467:H1492)</f>
        <v>24664.199499999995</v>
      </c>
      <c r="J1466" s="100">
        <f t="shared" si="180"/>
        <v>-0.37498092171945613</v>
      </c>
    </row>
    <row r="1467" spans="2:10" hidden="1" outlineLevel="2" x14ac:dyDescent="0.25">
      <c r="B1467" s="1" t="s">
        <v>84</v>
      </c>
      <c r="C1467" s="44">
        <v>7809.03</v>
      </c>
      <c r="E1467" s="50">
        <v>0.5</v>
      </c>
      <c r="F1467" s="50">
        <v>0.15</v>
      </c>
      <c r="G1467" s="51">
        <f>+E1467*C1467</f>
        <v>3904.5149999999999</v>
      </c>
      <c r="H1467" s="51">
        <f>+F1467*C1467</f>
        <v>1171.3544999999999</v>
      </c>
    </row>
    <row r="1468" spans="2:10" hidden="1" outlineLevel="2" x14ac:dyDescent="0.25">
      <c r="B1468" s="1" t="s">
        <v>85</v>
      </c>
      <c r="C1468" s="44">
        <v>5045.08</v>
      </c>
      <c r="E1468" s="50">
        <v>1</v>
      </c>
      <c r="F1468" s="50">
        <v>0.1</v>
      </c>
      <c r="G1468" s="51">
        <f>+E1468*C1468</f>
        <v>5045.08</v>
      </c>
      <c r="H1468" s="51">
        <f>+F1468*C1468</f>
        <v>504.50800000000004</v>
      </c>
    </row>
    <row r="1469" spans="2:10" hidden="1" outlineLevel="2" x14ac:dyDescent="0.25">
      <c r="B1469" s="1" t="s">
        <v>86</v>
      </c>
      <c r="C1469" s="44">
        <v>2143.3200000000002</v>
      </c>
      <c r="E1469" s="50">
        <v>1</v>
      </c>
      <c r="F1469" s="50">
        <v>0</v>
      </c>
      <c r="G1469" s="51">
        <f t="shared" ref="G1469:G1492" si="181">+E1469*C1469</f>
        <v>2143.3200000000002</v>
      </c>
      <c r="H1469" s="51">
        <f t="shared" ref="H1469:H1492" si="182">+F1469*C1469</f>
        <v>0</v>
      </c>
    </row>
    <row r="1470" spans="2:10" hidden="1" outlineLevel="2" x14ac:dyDescent="0.25">
      <c r="B1470" s="1" t="s">
        <v>87</v>
      </c>
      <c r="C1470" s="44">
        <v>2764.5</v>
      </c>
      <c r="E1470" s="50">
        <v>1</v>
      </c>
      <c r="F1470" s="50">
        <v>0.8</v>
      </c>
      <c r="G1470" s="51">
        <f t="shared" si="181"/>
        <v>2764.5</v>
      </c>
      <c r="H1470" s="51">
        <f t="shared" si="182"/>
        <v>2211.6</v>
      </c>
    </row>
    <row r="1471" spans="2:10" hidden="1" outlineLevel="2" x14ac:dyDescent="0.25">
      <c r="B1471" s="1" t="s">
        <v>88</v>
      </c>
      <c r="C1471" s="44">
        <v>1573.13</v>
      </c>
      <c r="E1471" s="50">
        <v>1</v>
      </c>
      <c r="F1471" s="50">
        <v>0.8</v>
      </c>
      <c r="G1471" s="51">
        <f t="shared" si="181"/>
        <v>1573.13</v>
      </c>
      <c r="H1471" s="51">
        <f t="shared" si="182"/>
        <v>1258.5040000000001</v>
      </c>
    </row>
    <row r="1472" spans="2:10" hidden="1" outlineLevel="2" x14ac:dyDescent="0.25">
      <c r="B1472" s="1" t="s">
        <v>89</v>
      </c>
      <c r="C1472" s="44">
        <v>549.67999999999995</v>
      </c>
      <c r="E1472" s="50">
        <v>1</v>
      </c>
      <c r="F1472" s="50">
        <v>0.8</v>
      </c>
      <c r="G1472" s="51">
        <f t="shared" si="181"/>
        <v>549.67999999999995</v>
      </c>
      <c r="H1472" s="51">
        <f t="shared" si="182"/>
        <v>439.74399999999997</v>
      </c>
    </row>
    <row r="1473" spans="2:8" hidden="1" outlineLevel="2" x14ac:dyDescent="0.25">
      <c r="B1473" s="1" t="s">
        <v>90</v>
      </c>
      <c r="C1473" s="44">
        <v>1205.1199999999999</v>
      </c>
      <c r="E1473" s="50">
        <v>1</v>
      </c>
      <c r="F1473" s="50">
        <v>0.8</v>
      </c>
      <c r="G1473" s="51">
        <f t="shared" si="181"/>
        <v>1205.1199999999999</v>
      </c>
      <c r="H1473" s="51">
        <f t="shared" si="182"/>
        <v>964.096</v>
      </c>
    </row>
    <row r="1474" spans="2:8" hidden="1" outlineLevel="2" x14ac:dyDescent="0.25">
      <c r="B1474" s="1" t="s">
        <v>91</v>
      </c>
      <c r="C1474" s="44">
        <v>903.84</v>
      </c>
      <c r="E1474" s="50">
        <v>1</v>
      </c>
      <c r="F1474" s="50">
        <v>0.8</v>
      </c>
      <c r="G1474" s="51">
        <f t="shared" si="181"/>
        <v>903.84</v>
      </c>
      <c r="H1474" s="51">
        <f t="shared" si="182"/>
        <v>723.07200000000012</v>
      </c>
    </row>
    <row r="1475" spans="2:8" hidden="1" outlineLevel="2" x14ac:dyDescent="0.25">
      <c r="B1475" s="1" t="s">
        <v>92</v>
      </c>
      <c r="C1475" s="44">
        <v>1475.2</v>
      </c>
      <c r="E1475" s="50">
        <v>1</v>
      </c>
      <c r="F1475" s="50">
        <v>0.8</v>
      </c>
      <c r="G1475" s="51">
        <f t="shared" si="181"/>
        <v>1475.2</v>
      </c>
      <c r="H1475" s="51">
        <f t="shared" si="182"/>
        <v>1180.1600000000001</v>
      </c>
    </row>
    <row r="1476" spans="2:8" hidden="1" outlineLevel="2" x14ac:dyDescent="0.25">
      <c r="B1476" s="1" t="s">
        <v>93</v>
      </c>
      <c r="C1476" s="44">
        <v>2857.22</v>
      </c>
      <c r="E1476" s="50">
        <v>1</v>
      </c>
      <c r="F1476" s="50">
        <v>0.8</v>
      </c>
      <c r="G1476" s="51">
        <f t="shared" si="181"/>
        <v>2857.22</v>
      </c>
      <c r="H1476" s="51">
        <f t="shared" si="182"/>
        <v>2285.7759999999998</v>
      </c>
    </row>
    <row r="1477" spans="2:8" hidden="1" outlineLevel="2" x14ac:dyDescent="0.25">
      <c r="B1477" s="1" t="s">
        <v>94</v>
      </c>
      <c r="C1477" s="44">
        <v>2531.7399999999998</v>
      </c>
      <c r="E1477" s="50">
        <v>1</v>
      </c>
      <c r="F1477" s="50">
        <v>0.8</v>
      </c>
      <c r="G1477" s="51">
        <f t="shared" si="181"/>
        <v>2531.7399999999998</v>
      </c>
      <c r="H1477" s="51">
        <f t="shared" si="182"/>
        <v>2025.3919999999998</v>
      </c>
    </row>
    <row r="1478" spans="2:8" hidden="1" outlineLevel="2" x14ac:dyDescent="0.25">
      <c r="B1478" s="1" t="s">
        <v>95</v>
      </c>
      <c r="C1478" s="44">
        <v>574.99</v>
      </c>
      <c r="E1478" s="50">
        <v>1</v>
      </c>
      <c r="F1478" s="50">
        <v>0</v>
      </c>
      <c r="G1478" s="51">
        <f t="shared" si="181"/>
        <v>574.99</v>
      </c>
      <c r="H1478" s="51">
        <f t="shared" si="182"/>
        <v>0</v>
      </c>
    </row>
    <row r="1479" spans="2:8" hidden="1" outlineLevel="2" x14ac:dyDescent="0.25">
      <c r="B1479" s="1" t="s">
        <v>96</v>
      </c>
      <c r="C1479" s="44">
        <v>3105.23</v>
      </c>
      <c r="E1479" s="50">
        <v>1</v>
      </c>
      <c r="F1479" s="50">
        <v>0.8</v>
      </c>
      <c r="G1479" s="51">
        <f t="shared" si="181"/>
        <v>3105.23</v>
      </c>
      <c r="H1479" s="51">
        <f t="shared" si="182"/>
        <v>2484.1840000000002</v>
      </c>
    </row>
    <row r="1480" spans="2:8" hidden="1" outlineLevel="2" x14ac:dyDescent="0.25">
      <c r="B1480" s="1" t="s">
        <v>97</v>
      </c>
      <c r="C1480" s="44">
        <v>350.55</v>
      </c>
      <c r="E1480" s="50">
        <v>1</v>
      </c>
      <c r="F1480" s="50">
        <v>0.8</v>
      </c>
      <c r="G1480" s="51">
        <f t="shared" si="181"/>
        <v>350.55</v>
      </c>
      <c r="H1480" s="51">
        <f t="shared" si="182"/>
        <v>280.44</v>
      </c>
    </row>
    <row r="1481" spans="2:8" hidden="1" outlineLevel="2" x14ac:dyDescent="0.25">
      <c r="B1481" s="1" t="s">
        <v>98</v>
      </c>
      <c r="C1481" s="44">
        <v>574.99</v>
      </c>
      <c r="E1481" s="50">
        <v>1</v>
      </c>
      <c r="F1481" s="50">
        <v>0</v>
      </c>
      <c r="G1481" s="51">
        <f t="shared" si="181"/>
        <v>574.99</v>
      </c>
      <c r="H1481" s="51">
        <f t="shared" si="182"/>
        <v>0</v>
      </c>
    </row>
    <row r="1482" spans="2:8" hidden="1" outlineLevel="2" x14ac:dyDescent="0.25">
      <c r="B1482" s="1" t="s">
        <v>99</v>
      </c>
      <c r="C1482" s="44">
        <v>11705.73</v>
      </c>
      <c r="E1482" s="50">
        <v>0.9</v>
      </c>
      <c r="F1482" s="50">
        <v>0.3</v>
      </c>
      <c r="G1482" s="51">
        <f t="shared" si="181"/>
        <v>10535.156999999999</v>
      </c>
      <c r="H1482" s="51">
        <f t="shared" si="182"/>
        <v>3511.7189999999996</v>
      </c>
    </row>
    <row r="1483" spans="2:8" hidden="1" outlineLevel="2" x14ac:dyDescent="0.25">
      <c r="B1483" s="1" t="s">
        <v>100</v>
      </c>
      <c r="C1483" s="44">
        <v>6523.48</v>
      </c>
      <c r="E1483" s="50">
        <v>0.9</v>
      </c>
      <c r="F1483" s="50">
        <v>0.3</v>
      </c>
      <c r="G1483" s="51">
        <f t="shared" si="181"/>
        <v>5871.1319999999996</v>
      </c>
      <c r="H1483" s="51">
        <f t="shared" si="182"/>
        <v>1957.0439999999999</v>
      </c>
    </row>
    <row r="1484" spans="2:8" hidden="1" outlineLevel="2" x14ac:dyDescent="0.25">
      <c r="B1484" s="1" t="s">
        <v>101</v>
      </c>
      <c r="C1484" s="44">
        <v>3303.29</v>
      </c>
      <c r="E1484" s="50">
        <v>0.5</v>
      </c>
      <c r="F1484" s="50">
        <v>0</v>
      </c>
      <c r="G1484" s="51">
        <f t="shared" si="181"/>
        <v>1651.645</v>
      </c>
      <c r="H1484" s="51">
        <f t="shared" si="182"/>
        <v>0</v>
      </c>
    </row>
    <row r="1485" spans="2:8" hidden="1" outlineLevel="2" x14ac:dyDescent="0.25">
      <c r="B1485" s="1" t="s">
        <v>102</v>
      </c>
      <c r="C1485" s="44">
        <v>5638.16</v>
      </c>
      <c r="E1485" s="50">
        <v>0.9</v>
      </c>
      <c r="F1485" s="50">
        <v>0.3</v>
      </c>
      <c r="G1485" s="51">
        <f t="shared" si="181"/>
        <v>5074.3440000000001</v>
      </c>
      <c r="H1485" s="51">
        <f t="shared" si="182"/>
        <v>1691.4479999999999</v>
      </c>
    </row>
    <row r="1486" spans="2:8" hidden="1" outlineLevel="2" x14ac:dyDescent="0.25">
      <c r="B1486" s="1" t="s">
        <v>103</v>
      </c>
      <c r="C1486" s="44">
        <v>6583.86</v>
      </c>
      <c r="E1486" s="50">
        <v>0.9</v>
      </c>
      <c r="F1486" s="50">
        <v>0.3</v>
      </c>
      <c r="G1486" s="51">
        <f t="shared" si="181"/>
        <v>5925.4740000000002</v>
      </c>
      <c r="H1486" s="51">
        <f t="shared" si="182"/>
        <v>1975.1579999999999</v>
      </c>
    </row>
    <row r="1487" spans="2:8" hidden="1" outlineLevel="2" x14ac:dyDescent="0.25">
      <c r="B1487" s="1" t="s">
        <v>104</v>
      </c>
      <c r="C1487" s="44">
        <v>30432.38</v>
      </c>
      <c r="E1487" s="50">
        <v>0</v>
      </c>
      <c r="F1487" s="50">
        <v>0</v>
      </c>
      <c r="G1487" s="51">
        <f t="shared" si="181"/>
        <v>0</v>
      </c>
      <c r="H1487" s="51">
        <f t="shared" si="182"/>
        <v>0</v>
      </c>
    </row>
    <row r="1488" spans="2:8" hidden="1" outlineLevel="2" x14ac:dyDescent="0.25">
      <c r="B1488" s="1" t="s">
        <v>105</v>
      </c>
      <c r="C1488" s="44">
        <v>1632.22</v>
      </c>
      <c r="E1488" s="50">
        <v>0</v>
      </c>
      <c r="F1488" s="50">
        <v>0</v>
      </c>
      <c r="G1488" s="51">
        <f t="shared" si="181"/>
        <v>0</v>
      </c>
      <c r="H1488" s="51">
        <f t="shared" si="182"/>
        <v>0</v>
      </c>
    </row>
    <row r="1489" spans="2:8" hidden="1" outlineLevel="2" x14ac:dyDescent="0.25">
      <c r="B1489" s="1" t="s">
        <v>106</v>
      </c>
      <c r="C1489" s="44">
        <v>2325.48</v>
      </c>
      <c r="E1489" s="50">
        <v>0.9</v>
      </c>
      <c r="F1489" s="50">
        <v>0</v>
      </c>
      <c r="G1489" s="51">
        <f t="shared" si="181"/>
        <v>2092.9320000000002</v>
      </c>
      <c r="H1489" s="51">
        <f t="shared" si="182"/>
        <v>0</v>
      </c>
    </row>
    <row r="1490" spans="2:8" hidden="1" outlineLevel="2" x14ac:dyDescent="0.25">
      <c r="B1490" s="1" t="s">
        <v>107</v>
      </c>
      <c r="C1490" s="44">
        <v>7596</v>
      </c>
      <c r="E1490" s="50">
        <v>0.9</v>
      </c>
      <c r="F1490" s="50">
        <v>0</v>
      </c>
      <c r="G1490" s="51">
        <f t="shared" si="181"/>
        <v>6836.4000000000005</v>
      </c>
      <c r="H1490" s="51">
        <f t="shared" si="182"/>
        <v>0</v>
      </c>
    </row>
    <row r="1491" spans="2:8" hidden="1" outlineLevel="2" x14ac:dyDescent="0.25">
      <c r="B1491" s="1" t="s">
        <v>108</v>
      </c>
      <c r="C1491" s="44">
        <v>2148.17</v>
      </c>
      <c r="E1491" s="50">
        <v>0</v>
      </c>
      <c r="F1491" s="50">
        <v>0</v>
      </c>
      <c r="G1491" s="51">
        <f t="shared" si="181"/>
        <v>0</v>
      </c>
      <c r="H1491" s="51">
        <f t="shared" si="182"/>
        <v>0</v>
      </c>
    </row>
    <row r="1492" spans="2:8" hidden="1" outlineLevel="2" x14ac:dyDescent="0.25">
      <c r="B1492" s="1" t="s">
        <v>109</v>
      </c>
      <c r="C1492" s="44">
        <v>3005.4</v>
      </c>
      <c r="E1492" s="50">
        <v>0</v>
      </c>
      <c r="F1492" s="50">
        <v>0</v>
      </c>
      <c r="G1492" s="51">
        <f t="shared" si="181"/>
        <v>0</v>
      </c>
      <c r="H1492" s="51">
        <f t="shared" si="182"/>
        <v>0</v>
      </c>
    </row>
    <row r="1493" spans="2:8" outlineLevel="1" collapsed="1" x14ac:dyDescent="0.25">
      <c r="B1493" s="60" t="s">
        <v>110</v>
      </c>
      <c r="C1493" s="61">
        <v>142526.66</v>
      </c>
      <c r="E1493" s="62"/>
      <c r="F1493" s="62"/>
      <c r="G1493" s="63"/>
      <c r="H1493" s="63"/>
    </row>
    <row r="1494" spans="2:8" hidden="1" outlineLevel="2" x14ac:dyDescent="0.25">
      <c r="B1494" s="1" t="s">
        <v>111</v>
      </c>
      <c r="C1494" s="44">
        <v>0</v>
      </c>
      <c r="E1494" s="50">
        <v>0</v>
      </c>
      <c r="F1494" s="50">
        <v>0</v>
      </c>
      <c r="G1494" s="51">
        <f t="shared" ref="G1494:G1507" si="183">+E1494*C1494</f>
        <v>0</v>
      </c>
      <c r="H1494" s="51">
        <f t="shared" ref="H1494:H1507" si="184">+F1494*C1494</f>
        <v>0</v>
      </c>
    </row>
    <row r="1495" spans="2:8" hidden="1" outlineLevel="2" x14ac:dyDescent="0.25">
      <c r="B1495" s="1" t="s">
        <v>112</v>
      </c>
      <c r="C1495" s="44">
        <v>0</v>
      </c>
      <c r="E1495" s="50">
        <v>0</v>
      </c>
      <c r="F1495" s="50">
        <v>0</v>
      </c>
      <c r="G1495" s="51">
        <f t="shared" si="183"/>
        <v>0</v>
      </c>
      <c r="H1495" s="51">
        <f t="shared" si="184"/>
        <v>0</v>
      </c>
    </row>
    <row r="1496" spans="2:8" hidden="1" outlineLevel="2" x14ac:dyDescent="0.25">
      <c r="B1496" s="1" t="s">
        <v>113</v>
      </c>
      <c r="C1496" s="44">
        <v>6659.71</v>
      </c>
      <c r="E1496" s="50">
        <v>0</v>
      </c>
      <c r="F1496" s="50">
        <v>0</v>
      </c>
      <c r="G1496" s="51">
        <f t="shared" si="183"/>
        <v>0</v>
      </c>
      <c r="H1496" s="51">
        <f t="shared" si="184"/>
        <v>0</v>
      </c>
    </row>
    <row r="1497" spans="2:8" hidden="1" outlineLevel="2" x14ac:dyDescent="0.25">
      <c r="B1497" s="1" t="s">
        <v>114</v>
      </c>
      <c r="C1497" s="44">
        <v>1630.51</v>
      </c>
      <c r="E1497" s="50">
        <v>0</v>
      </c>
      <c r="F1497" s="50">
        <v>0</v>
      </c>
      <c r="G1497" s="51">
        <f t="shared" si="183"/>
        <v>0</v>
      </c>
      <c r="H1497" s="51">
        <f t="shared" si="184"/>
        <v>0</v>
      </c>
    </row>
    <row r="1498" spans="2:8" hidden="1" outlineLevel="2" x14ac:dyDescent="0.25">
      <c r="B1498" s="1" t="s">
        <v>115</v>
      </c>
      <c r="C1498" s="44">
        <v>28258.41</v>
      </c>
      <c r="E1498" s="50">
        <v>0</v>
      </c>
      <c r="F1498" s="50">
        <v>0</v>
      </c>
      <c r="G1498" s="51">
        <f t="shared" si="183"/>
        <v>0</v>
      </c>
      <c r="H1498" s="51">
        <f t="shared" si="184"/>
        <v>0</v>
      </c>
    </row>
    <row r="1499" spans="2:8" hidden="1" outlineLevel="2" x14ac:dyDescent="0.25">
      <c r="B1499" s="1" t="s">
        <v>116</v>
      </c>
      <c r="C1499" s="44">
        <v>6623.16</v>
      </c>
      <c r="E1499" s="50">
        <v>0</v>
      </c>
      <c r="F1499" s="50">
        <v>0</v>
      </c>
      <c r="G1499" s="51">
        <f t="shared" si="183"/>
        <v>0</v>
      </c>
      <c r="H1499" s="51">
        <f t="shared" si="184"/>
        <v>0</v>
      </c>
    </row>
    <row r="1500" spans="2:8" hidden="1" outlineLevel="2" x14ac:dyDescent="0.25">
      <c r="B1500" s="1" t="s">
        <v>117</v>
      </c>
      <c r="C1500" s="44">
        <v>8627.4</v>
      </c>
      <c r="E1500" s="50">
        <v>0</v>
      </c>
      <c r="F1500" s="50">
        <v>0</v>
      </c>
      <c r="G1500" s="51">
        <f t="shared" si="183"/>
        <v>0</v>
      </c>
      <c r="H1500" s="51">
        <f t="shared" si="184"/>
        <v>0</v>
      </c>
    </row>
    <row r="1501" spans="2:8" hidden="1" outlineLevel="2" x14ac:dyDescent="0.25">
      <c r="B1501" s="1" t="s">
        <v>118</v>
      </c>
      <c r="C1501" s="44">
        <v>4759.74</v>
      </c>
      <c r="E1501" s="50">
        <v>0</v>
      </c>
      <c r="F1501" s="50">
        <v>0</v>
      </c>
      <c r="G1501" s="51">
        <f t="shared" si="183"/>
        <v>0</v>
      </c>
      <c r="H1501" s="51">
        <f t="shared" si="184"/>
        <v>0</v>
      </c>
    </row>
    <row r="1502" spans="2:8" hidden="1" outlineLevel="2" x14ac:dyDescent="0.25">
      <c r="B1502" s="1" t="s">
        <v>119</v>
      </c>
      <c r="C1502" s="44">
        <v>1930.42</v>
      </c>
      <c r="E1502" s="50">
        <v>0</v>
      </c>
      <c r="F1502" s="50">
        <v>0</v>
      </c>
      <c r="G1502" s="51">
        <f t="shared" si="183"/>
        <v>0</v>
      </c>
      <c r="H1502" s="51">
        <f t="shared" si="184"/>
        <v>0</v>
      </c>
    </row>
    <row r="1503" spans="2:8" hidden="1" outlineLevel="2" x14ac:dyDescent="0.25">
      <c r="B1503" s="1" t="s">
        <v>120</v>
      </c>
      <c r="C1503" s="44">
        <v>15378.5</v>
      </c>
      <c r="E1503" s="50">
        <v>0</v>
      </c>
      <c r="F1503" s="50">
        <v>0</v>
      </c>
      <c r="G1503" s="51">
        <f t="shared" si="183"/>
        <v>0</v>
      </c>
      <c r="H1503" s="51">
        <f t="shared" si="184"/>
        <v>0</v>
      </c>
    </row>
    <row r="1504" spans="2:8" hidden="1" outlineLevel="2" x14ac:dyDescent="0.25">
      <c r="B1504" s="1" t="s">
        <v>121</v>
      </c>
      <c r="C1504" s="44">
        <v>0</v>
      </c>
      <c r="E1504" s="50">
        <v>0</v>
      </c>
      <c r="F1504" s="50">
        <v>0</v>
      </c>
      <c r="G1504" s="51">
        <f t="shared" si="183"/>
        <v>0</v>
      </c>
      <c r="H1504" s="51">
        <f t="shared" si="184"/>
        <v>0</v>
      </c>
    </row>
    <row r="1505" spans="2:8" hidden="1" outlineLevel="2" x14ac:dyDescent="0.25">
      <c r="B1505" s="1" t="s">
        <v>122</v>
      </c>
      <c r="C1505" s="44">
        <v>12036.42</v>
      </c>
      <c r="E1505" s="50">
        <v>0</v>
      </c>
      <c r="F1505" s="50">
        <v>0</v>
      </c>
      <c r="G1505" s="51">
        <f t="shared" si="183"/>
        <v>0</v>
      </c>
      <c r="H1505" s="51">
        <f t="shared" si="184"/>
        <v>0</v>
      </c>
    </row>
    <row r="1506" spans="2:8" hidden="1" outlineLevel="2" x14ac:dyDescent="0.25">
      <c r="B1506" s="1" t="s">
        <v>123</v>
      </c>
      <c r="C1506" s="44">
        <v>43281.54</v>
      </c>
      <c r="E1506" s="50">
        <v>0</v>
      </c>
      <c r="F1506" s="50">
        <v>0</v>
      </c>
      <c r="G1506" s="51">
        <f t="shared" si="183"/>
        <v>0</v>
      </c>
      <c r="H1506" s="51">
        <f t="shared" si="184"/>
        <v>0</v>
      </c>
    </row>
    <row r="1507" spans="2:8" hidden="1" outlineLevel="2" x14ac:dyDescent="0.25">
      <c r="B1507" s="1" t="s">
        <v>124</v>
      </c>
      <c r="C1507" s="44">
        <v>13340.85</v>
      </c>
      <c r="E1507" s="50">
        <v>0</v>
      </c>
      <c r="F1507" s="50">
        <v>0</v>
      </c>
      <c r="G1507" s="51">
        <f t="shared" si="183"/>
        <v>0</v>
      </c>
      <c r="H1507" s="51">
        <f t="shared" si="184"/>
        <v>0</v>
      </c>
    </row>
    <row r="1508" spans="2:8" outlineLevel="1" collapsed="1" x14ac:dyDescent="0.25">
      <c r="B1508" s="60" t="s">
        <v>125</v>
      </c>
      <c r="C1508" s="61">
        <v>19320.240000000002</v>
      </c>
      <c r="E1508" s="62"/>
      <c r="F1508" s="62"/>
      <c r="G1508" s="63"/>
      <c r="H1508" s="63"/>
    </row>
    <row r="1509" spans="2:8" hidden="1" outlineLevel="2" x14ac:dyDescent="0.25">
      <c r="B1509" s="1" t="s">
        <v>126</v>
      </c>
      <c r="C1509" s="44">
        <v>19320.240000000002</v>
      </c>
      <c r="E1509" s="50">
        <v>0</v>
      </c>
      <c r="F1509" s="50">
        <v>0</v>
      </c>
      <c r="G1509" s="51">
        <f t="shared" ref="G1509" si="185">+E1509*C1509</f>
        <v>0</v>
      </c>
      <c r="H1509" s="51">
        <f t="shared" ref="H1509" si="186">+F1509*C1509</f>
        <v>0</v>
      </c>
    </row>
    <row r="1510" spans="2:8" outlineLevel="1" collapsed="1" x14ac:dyDescent="0.25">
      <c r="B1510" s="40" t="s">
        <v>127</v>
      </c>
      <c r="C1510" s="52">
        <v>118803.13</v>
      </c>
      <c r="E1510" s="54"/>
      <c r="F1510" s="54"/>
      <c r="G1510" s="53"/>
      <c r="H1510" s="53"/>
    </row>
    <row r="1511" spans="2:8" hidden="1" outlineLevel="2" x14ac:dyDescent="0.25">
      <c r="B1511" s="1" t="s">
        <v>128</v>
      </c>
      <c r="C1511" s="44">
        <v>706.06</v>
      </c>
      <c r="E1511" s="50">
        <v>0</v>
      </c>
      <c r="F1511" s="50">
        <v>0</v>
      </c>
      <c r="G1511" s="51">
        <f t="shared" ref="G1511:G1535" si="187">+E1511*C1511</f>
        <v>0</v>
      </c>
      <c r="H1511" s="51">
        <f t="shared" ref="H1511:H1535" si="188">+F1511*C1511</f>
        <v>0</v>
      </c>
    </row>
    <row r="1512" spans="2:8" hidden="1" outlineLevel="2" x14ac:dyDescent="0.25">
      <c r="B1512" s="1" t="s">
        <v>129</v>
      </c>
      <c r="C1512" s="44">
        <v>2255.35</v>
      </c>
      <c r="E1512" s="50">
        <v>0</v>
      </c>
      <c r="F1512" s="50">
        <v>0</v>
      </c>
      <c r="G1512" s="51">
        <f t="shared" si="187"/>
        <v>0</v>
      </c>
      <c r="H1512" s="51">
        <f t="shared" si="188"/>
        <v>0</v>
      </c>
    </row>
    <row r="1513" spans="2:8" hidden="1" outlineLevel="2" x14ac:dyDescent="0.25">
      <c r="B1513" s="1" t="s">
        <v>130</v>
      </c>
      <c r="C1513" s="44">
        <v>3503.1</v>
      </c>
      <c r="E1513" s="50">
        <v>0</v>
      </c>
      <c r="F1513" s="50">
        <v>0</v>
      </c>
      <c r="G1513" s="51">
        <f t="shared" si="187"/>
        <v>0</v>
      </c>
      <c r="H1513" s="51">
        <f t="shared" si="188"/>
        <v>0</v>
      </c>
    </row>
    <row r="1514" spans="2:8" hidden="1" outlineLevel="2" x14ac:dyDescent="0.25">
      <c r="B1514" s="1" t="s">
        <v>131</v>
      </c>
      <c r="C1514" s="44">
        <v>2909.44</v>
      </c>
      <c r="E1514" s="50">
        <v>0</v>
      </c>
      <c r="F1514" s="50">
        <v>0</v>
      </c>
      <c r="G1514" s="51">
        <f t="shared" si="187"/>
        <v>0</v>
      </c>
      <c r="H1514" s="51">
        <f t="shared" si="188"/>
        <v>0</v>
      </c>
    </row>
    <row r="1515" spans="2:8" hidden="1" outlineLevel="2" x14ac:dyDescent="0.25">
      <c r="B1515" s="1" t="s">
        <v>132</v>
      </c>
      <c r="C1515" s="44">
        <v>2315.7600000000002</v>
      </c>
      <c r="E1515" s="50">
        <v>0</v>
      </c>
      <c r="F1515" s="50">
        <v>0</v>
      </c>
      <c r="G1515" s="51">
        <f t="shared" si="187"/>
        <v>0</v>
      </c>
      <c r="H1515" s="51">
        <f t="shared" si="188"/>
        <v>0</v>
      </c>
    </row>
    <row r="1516" spans="2:8" hidden="1" outlineLevel="2" x14ac:dyDescent="0.25">
      <c r="B1516" s="1" t="s">
        <v>133</v>
      </c>
      <c r="C1516" s="44">
        <v>7986.5</v>
      </c>
      <c r="E1516" s="50">
        <v>0</v>
      </c>
      <c r="F1516" s="50">
        <v>0</v>
      </c>
      <c r="G1516" s="51">
        <f t="shared" si="187"/>
        <v>0</v>
      </c>
      <c r="H1516" s="51">
        <f t="shared" si="188"/>
        <v>0</v>
      </c>
    </row>
    <row r="1517" spans="2:8" hidden="1" outlineLevel="2" x14ac:dyDescent="0.25">
      <c r="B1517" s="1" t="s">
        <v>134</v>
      </c>
      <c r="C1517" s="44">
        <v>12681.12</v>
      </c>
      <c r="E1517" s="50">
        <v>0</v>
      </c>
      <c r="F1517" s="50">
        <v>0</v>
      </c>
      <c r="G1517" s="51">
        <f t="shared" si="187"/>
        <v>0</v>
      </c>
      <c r="H1517" s="51">
        <f t="shared" si="188"/>
        <v>0</v>
      </c>
    </row>
    <row r="1518" spans="2:8" hidden="1" outlineLevel="2" x14ac:dyDescent="0.25">
      <c r="B1518" s="1" t="s">
        <v>135</v>
      </c>
      <c r="C1518" s="44">
        <v>2427.91</v>
      </c>
      <c r="E1518" s="50">
        <v>0</v>
      </c>
      <c r="F1518" s="50">
        <v>0</v>
      </c>
      <c r="G1518" s="51">
        <f t="shared" si="187"/>
        <v>0</v>
      </c>
      <c r="H1518" s="51">
        <f t="shared" si="188"/>
        <v>0</v>
      </c>
    </row>
    <row r="1519" spans="2:8" hidden="1" outlineLevel="2" x14ac:dyDescent="0.25">
      <c r="B1519" s="1" t="s">
        <v>136</v>
      </c>
      <c r="C1519" s="44">
        <v>4151.0200000000004</v>
      </c>
      <c r="E1519" s="50">
        <v>0</v>
      </c>
      <c r="F1519" s="50">
        <v>0</v>
      </c>
      <c r="G1519" s="51">
        <f t="shared" si="187"/>
        <v>0</v>
      </c>
      <c r="H1519" s="51">
        <f t="shared" si="188"/>
        <v>0</v>
      </c>
    </row>
    <row r="1520" spans="2:8" hidden="1" outlineLevel="2" x14ac:dyDescent="0.25">
      <c r="B1520" s="1" t="s">
        <v>137</v>
      </c>
      <c r="C1520" s="44">
        <v>1305.8399999999999</v>
      </c>
      <c r="E1520" s="50">
        <v>0</v>
      </c>
      <c r="F1520" s="50">
        <v>0</v>
      </c>
      <c r="G1520" s="51">
        <f t="shared" si="187"/>
        <v>0</v>
      </c>
      <c r="H1520" s="51">
        <f t="shared" si="188"/>
        <v>0</v>
      </c>
    </row>
    <row r="1521" spans="2:8" hidden="1" outlineLevel="2" x14ac:dyDescent="0.25">
      <c r="B1521" s="1" t="s">
        <v>138</v>
      </c>
      <c r="C1521" s="44">
        <v>4403.43</v>
      </c>
      <c r="E1521" s="50">
        <v>0</v>
      </c>
      <c r="F1521" s="50">
        <v>0</v>
      </c>
      <c r="G1521" s="51">
        <f t="shared" si="187"/>
        <v>0</v>
      </c>
      <c r="H1521" s="51">
        <f t="shared" si="188"/>
        <v>0</v>
      </c>
    </row>
    <row r="1522" spans="2:8" hidden="1" outlineLevel="2" x14ac:dyDescent="0.25">
      <c r="B1522" s="1" t="s">
        <v>139</v>
      </c>
      <c r="C1522" s="44">
        <v>3285.06</v>
      </c>
      <c r="E1522" s="50">
        <v>0</v>
      </c>
      <c r="F1522" s="50">
        <v>0</v>
      </c>
      <c r="G1522" s="51">
        <f t="shared" si="187"/>
        <v>0</v>
      </c>
      <c r="H1522" s="51">
        <f t="shared" si="188"/>
        <v>0</v>
      </c>
    </row>
    <row r="1523" spans="2:8" hidden="1" outlineLevel="2" x14ac:dyDescent="0.25">
      <c r="B1523" s="1" t="s">
        <v>140</v>
      </c>
      <c r="C1523" s="44">
        <v>22457.19</v>
      </c>
      <c r="E1523" s="50">
        <v>0</v>
      </c>
      <c r="F1523" s="50">
        <v>0</v>
      </c>
      <c r="G1523" s="51">
        <f t="shared" si="187"/>
        <v>0</v>
      </c>
      <c r="H1523" s="51">
        <f t="shared" si="188"/>
        <v>0</v>
      </c>
    </row>
    <row r="1524" spans="2:8" hidden="1" outlineLevel="2" x14ac:dyDescent="0.25">
      <c r="B1524" s="1" t="s">
        <v>141</v>
      </c>
      <c r="C1524" s="44">
        <v>24413.52</v>
      </c>
      <c r="E1524" s="50">
        <v>0</v>
      </c>
      <c r="F1524" s="50">
        <v>0</v>
      </c>
      <c r="G1524" s="51">
        <f t="shared" si="187"/>
        <v>0</v>
      </c>
      <c r="H1524" s="51">
        <f t="shared" si="188"/>
        <v>0</v>
      </c>
    </row>
    <row r="1525" spans="2:8" hidden="1" outlineLevel="2" x14ac:dyDescent="0.25">
      <c r="B1525" s="1" t="s">
        <v>105</v>
      </c>
      <c r="C1525" s="44">
        <v>1977</v>
      </c>
      <c r="E1525" s="50">
        <v>0</v>
      </c>
      <c r="F1525" s="50">
        <v>0</v>
      </c>
      <c r="G1525" s="51">
        <f t="shared" si="187"/>
        <v>0</v>
      </c>
      <c r="H1525" s="51">
        <f t="shared" si="188"/>
        <v>0</v>
      </c>
    </row>
    <row r="1526" spans="2:8" hidden="1" outlineLevel="2" x14ac:dyDescent="0.25">
      <c r="B1526" s="1" t="s">
        <v>142</v>
      </c>
      <c r="C1526" s="44">
        <v>6758.73</v>
      </c>
      <c r="E1526" s="50">
        <v>0</v>
      </c>
      <c r="F1526" s="50">
        <v>0</v>
      </c>
      <c r="G1526" s="51">
        <f t="shared" si="187"/>
        <v>0</v>
      </c>
      <c r="H1526" s="51">
        <f t="shared" si="188"/>
        <v>0</v>
      </c>
    </row>
    <row r="1527" spans="2:8" hidden="1" outlineLevel="2" x14ac:dyDescent="0.25">
      <c r="B1527" s="1" t="s">
        <v>143</v>
      </c>
      <c r="C1527" s="44">
        <v>5471.78</v>
      </c>
      <c r="E1527" s="50">
        <v>0</v>
      </c>
      <c r="F1527" s="50">
        <v>0</v>
      </c>
      <c r="G1527" s="51">
        <f t="shared" si="187"/>
        <v>0</v>
      </c>
      <c r="H1527" s="51">
        <f t="shared" si="188"/>
        <v>0</v>
      </c>
    </row>
    <row r="1528" spans="2:8" hidden="1" outlineLevel="2" x14ac:dyDescent="0.25">
      <c r="B1528" s="1" t="s">
        <v>90</v>
      </c>
      <c r="C1528" s="44">
        <v>1411.38</v>
      </c>
      <c r="E1528" s="50">
        <v>0</v>
      </c>
      <c r="F1528" s="50">
        <v>0</v>
      </c>
      <c r="G1528" s="51">
        <f t="shared" si="187"/>
        <v>0</v>
      </c>
      <c r="H1528" s="51">
        <f t="shared" si="188"/>
        <v>0</v>
      </c>
    </row>
    <row r="1529" spans="2:8" hidden="1" outlineLevel="2" x14ac:dyDescent="0.25">
      <c r="B1529" s="1" t="s">
        <v>91</v>
      </c>
      <c r="C1529" s="44">
        <v>1411.38</v>
      </c>
      <c r="E1529" s="50">
        <v>0</v>
      </c>
      <c r="F1529" s="50">
        <v>0</v>
      </c>
      <c r="G1529" s="51">
        <f t="shared" si="187"/>
        <v>0</v>
      </c>
      <c r="H1529" s="51">
        <f t="shared" si="188"/>
        <v>0</v>
      </c>
    </row>
    <row r="1530" spans="2:8" hidden="1" outlineLevel="2" x14ac:dyDescent="0.25">
      <c r="B1530" s="1" t="s">
        <v>144</v>
      </c>
      <c r="C1530" s="44">
        <v>1227.26</v>
      </c>
      <c r="E1530" s="50">
        <v>0</v>
      </c>
      <c r="F1530" s="50">
        <v>0</v>
      </c>
      <c r="G1530" s="51">
        <f t="shared" si="187"/>
        <v>0</v>
      </c>
      <c r="H1530" s="51">
        <f t="shared" si="188"/>
        <v>0</v>
      </c>
    </row>
    <row r="1531" spans="2:8" hidden="1" outlineLevel="2" x14ac:dyDescent="0.25">
      <c r="B1531" s="1" t="s">
        <v>145</v>
      </c>
      <c r="C1531" s="44">
        <v>2250.4299999999998</v>
      </c>
      <c r="E1531" s="50">
        <v>0</v>
      </c>
      <c r="F1531" s="50">
        <v>0</v>
      </c>
      <c r="G1531" s="51">
        <f t="shared" si="187"/>
        <v>0</v>
      </c>
      <c r="H1531" s="51">
        <f t="shared" si="188"/>
        <v>0</v>
      </c>
    </row>
    <row r="1532" spans="2:8" hidden="1" outlineLevel="2" x14ac:dyDescent="0.25">
      <c r="B1532" s="1" t="s">
        <v>95</v>
      </c>
      <c r="C1532" s="44">
        <v>574.99</v>
      </c>
      <c r="E1532" s="50">
        <v>0</v>
      </c>
      <c r="F1532" s="50">
        <v>0</v>
      </c>
      <c r="G1532" s="51">
        <f t="shared" si="187"/>
        <v>0</v>
      </c>
      <c r="H1532" s="51">
        <f t="shared" si="188"/>
        <v>0</v>
      </c>
    </row>
    <row r="1533" spans="2:8" hidden="1" outlineLevel="2" x14ac:dyDescent="0.25">
      <c r="B1533" s="1" t="s">
        <v>146</v>
      </c>
      <c r="C1533" s="44">
        <v>1376.37</v>
      </c>
      <c r="E1533" s="50">
        <v>0</v>
      </c>
      <c r="F1533" s="50">
        <v>0</v>
      </c>
      <c r="G1533" s="51">
        <f t="shared" si="187"/>
        <v>0</v>
      </c>
      <c r="H1533" s="51">
        <f t="shared" si="188"/>
        <v>0</v>
      </c>
    </row>
    <row r="1534" spans="2:8" hidden="1" outlineLevel="2" x14ac:dyDescent="0.25">
      <c r="B1534" s="1" t="s">
        <v>147</v>
      </c>
      <c r="C1534" s="44">
        <v>967.52</v>
      </c>
      <c r="E1534" s="50">
        <v>0</v>
      </c>
      <c r="F1534" s="50">
        <v>0</v>
      </c>
      <c r="G1534" s="51">
        <f t="shared" si="187"/>
        <v>0</v>
      </c>
      <c r="H1534" s="51">
        <f t="shared" si="188"/>
        <v>0</v>
      </c>
    </row>
    <row r="1535" spans="2:8" hidden="1" outlineLevel="2" x14ac:dyDescent="0.25">
      <c r="B1535" s="1" t="s">
        <v>98</v>
      </c>
      <c r="C1535" s="44">
        <v>574.99</v>
      </c>
      <c r="E1535" s="50">
        <v>0</v>
      </c>
      <c r="F1535" s="50">
        <v>0</v>
      </c>
      <c r="G1535" s="51">
        <f t="shared" si="187"/>
        <v>0</v>
      </c>
      <c r="H1535" s="51">
        <f t="shared" si="188"/>
        <v>0</v>
      </c>
    </row>
    <row r="1536" spans="2:8" outlineLevel="1" collapsed="1" x14ac:dyDescent="0.25">
      <c r="B1536" s="60" t="s">
        <v>148</v>
      </c>
      <c r="C1536" s="61">
        <v>203302.15</v>
      </c>
      <c r="E1536" s="62"/>
      <c r="F1536" s="62"/>
      <c r="G1536" s="63"/>
      <c r="H1536" s="63"/>
    </row>
    <row r="1537" spans="2:8" hidden="1" outlineLevel="2" x14ac:dyDescent="0.25">
      <c r="B1537" s="1" t="s">
        <v>149</v>
      </c>
      <c r="C1537" s="44">
        <v>0</v>
      </c>
      <c r="E1537" s="50">
        <v>0</v>
      </c>
      <c r="F1537" s="50">
        <v>0</v>
      </c>
      <c r="G1537" s="51">
        <f t="shared" ref="G1537:G1547" si="189">+E1537*C1537</f>
        <v>0</v>
      </c>
      <c r="H1537" s="51">
        <f t="shared" ref="H1537:H1547" si="190">+F1537*C1537</f>
        <v>0</v>
      </c>
    </row>
    <row r="1538" spans="2:8" hidden="1" outlineLevel="2" x14ac:dyDescent="0.25">
      <c r="B1538" s="1" t="s">
        <v>112</v>
      </c>
      <c r="C1538" s="44">
        <v>6504.92</v>
      </c>
      <c r="E1538" s="50">
        <v>0</v>
      </c>
      <c r="F1538" s="50">
        <v>0</v>
      </c>
      <c r="G1538" s="51">
        <f t="shared" si="189"/>
        <v>0</v>
      </c>
      <c r="H1538" s="51">
        <f t="shared" si="190"/>
        <v>0</v>
      </c>
    </row>
    <row r="1539" spans="2:8" hidden="1" outlineLevel="2" x14ac:dyDescent="0.25">
      <c r="B1539" s="1" t="s">
        <v>113</v>
      </c>
      <c r="C1539" s="44">
        <v>11814.9</v>
      </c>
      <c r="E1539" s="50">
        <v>0</v>
      </c>
      <c r="F1539" s="50">
        <v>0</v>
      </c>
      <c r="G1539" s="51">
        <f t="shared" si="189"/>
        <v>0</v>
      </c>
      <c r="H1539" s="51">
        <f t="shared" si="190"/>
        <v>0</v>
      </c>
    </row>
    <row r="1540" spans="2:8" hidden="1" outlineLevel="2" x14ac:dyDescent="0.25">
      <c r="B1540" s="1" t="s">
        <v>114</v>
      </c>
      <c r="C1540" s="44">
        <v>5150.71</v>
      </c>
      <c r="E1540" s="50">
        <v>0</v>
      </c>
      <c r="F1540" s="50">
        <v>0</v>
      </c>
      <c r="G1540" s="51">
        <f t="shared" si="189"/>
        <v>0</v>
      </c>
      <c r="H1540" s="51">
        <f t="shared" si="190"/>
        <v>0</v>
      </c>
    </row>
    <row r="1541" spans="2:8" hidden="1" outlineLevel="2" x14ac:dyDescent="0.25">
      <c r="B1541" s="1" t="s">
        <v>115</v>
      </c>
      <c r="C1541" s="44">
        <v>47507.64</v>
      </c>
      <c r="E1541" s="50">
        <v>0</v>
      </c>
      <c r="F1541" s="50">
        <v>0</v>
      </c>
      <c r="G1541" s="51">
        <f t="shared" si="189"/>
        <v>0</v>
      </c>
      <c r="H1541" s="51">
        <f t="shared" si="190"/>
        <v>0</v>
      </c>
    </row>
    <row r="1542" spans="2:8" hidden="1" outlineLevel="2" x14ac:dyDescent="0.25">
      <c r="B1542" s="1" t="s">
        <v>116</v>
      </c>
      <c r="C1542" s="44">
        <v>2823</v>
      </c>
      <c r="E1542" s="50">
        <v>0</v>
      </c>
      <c r="F1542" s="50">
        <v>0</v>
      </c>
      <c r="G1542" s="51">
        <f t="shared" si="189"/>
        <v>0</v>
      </c>
      <c r="H1542" s="51">
        <f t="shared" si="190"/>
        <v>0</v>
      </c>
    </row>
    <row r="1543" spans="2:8" hidden="1" outlineLevel="2" x14ac:dyDescent="0.25">
      <c r="B1543" s="1" t="s">
        <v>117</v>
      </c>
      <c r="C1543" s="44">
        <v>13197.36</v>
      </c>
      <c r="E1543" s="50">
        <v>0</v>
      </c>
      <c r="F1543" s="50">
        <v>0</v>
      </c>
      <c r="G1543" s="51">
        <f t="shared" si="189"/>
        <v>0</v>
      </c>
      <c r="H1543" s="51">
        <f t="shared" si="190"/>
        <v>0</v>
      </c>
    </row>
    <row r="1544" spans="2:8" hidden="1" outlineLevel="2" x14ac:dyDescent="0.25">
      <c r="B1544" s="1" t="s">
        <v>120</v>
      </c>
      <c r="C1544" s="44">
        <v>16847.900000000001</v>
      </c>
      <c r="E1544" s="50">
        <v>0</v>
      </c>
      <c r="F1544" s="50">
        <v>0</v>
      </c>
      <c r="G1544" s="51">
        <f t="shared" si="189"/>
        <v>0</v>
      </c>
      <c r="H1544" s="51">
        <f t="shared" si="190"/>
        <v>0</v>
      </c>
    </row>
    <row r="1545" spans="2:8" hidden="1" outlineLevel="2" x14ac:dyDescent="0.25">
      <c r="B1545" s="1" t="s">
        <v>122</v>
      </c>
      <c r="C1545" s="44">
        <v>22412.86</v>
      </c>
      <c r="E1545" s="50">
        <v>0</v>
      </c>
      <c r="F1545" s="50">
        <v>0</v>
      </c>
      <c r="G1545" s="51">
        <f t="shared" si="189"/>
        <v>0</v>
      </c>
      <c r="H1545" s="51">
        <f t="shared" si="190"/>
        <v>0</v>
      </c>
    </row>
    <row r="1546" spans="2:8" hidden="1" outlineLevel="2" x14ac:dyDescent="0.25">
      <c r="B1546" s="1" t="s">
        <v>123</v>
      </c>
      <c r="C1546" s="44">
        <v>51035.76</v>
      </c>
      <c r="E1546" s="50">
        <v>0</v>
      </c>
      <c r="F1546" s="50">
        <v>0</v>
      </c>
      <c r="G1546" s="51">
        <f t="shared" si="189"/>
        <v>0</v>
      </c>
      <c r="H1546" s="51">
        <f t="shared" si="190"/>
        <v>0</v>
      </c>
    </row>
    <row r="1547" spans="2:8" hidden="1" outlineLevel="2" x14ac:dyDescent="0.25">
      <c r="B1547" s="1" t="s">
        <v>150</v>
      </c>
      <c r="C1547" s="44">
        <v>26007.1</v>
      </c>
      <c r="E1547" s="50">
        <v>0</v>
      </c>
      <c r="F1547" s="50">
        <v>0</v>
      </c>
      <c r="G1547" s="51">
        <f t="shared" si="189"/>
        <v>0</v>
      </c>
      <c r="H1547" s="51">
        <f t="shared" si="190"/>
        <v>0</v>
      </c>
    </row>
    <row r="1548" spans="2:8" outlineLevel="1" collapsed="1" x14ac:dyDescent="0.25">
      <c r="B1548" s="60" t="s">
        <v>151</v>
      </c>
      <c r="C1548" s="61">
        <v>98367.6</v>
      </c>
      <c r="E1548" s="62"/>
      <c r="F1548" s="62"/>
      <c r="G1548" s="63"/>
      <c r="H1548" s="63"/>
    </row>
    <row r="1549" spans="2:8" hidden="1" outlineLevel="2" x14ac:dyDescent="0.25">
      <c r="B1549" s="1" t="s">
        <v>152</v>
      </c>
      <c r="C1549" s="44">
        <v>5979.6</v>
      </c>
      <c r="E1549" s="50">
        <v>0</v>
      </c>
      <c r="F1549" s="50">
        <v>0</v>
      </c>
      <c r="G1549" s="51">
        <f t="shared" ref="G1549:G1562" si="191">+E1549*C1549</f>
        <v>0</v>
      </c>
      <c r="H1549" s="51">
        <f t="shared" ref="H1549:H1562" si="192">+F1549*C1549</f>
        <v>0</v>
      </c>
    </row>
    <row r="1550" spans="2:8" hidden="1" outlineLevel="2" x14ac:dyDescent="0.25">
      <c r="B1550" s="1" t="s">
        <v>153</v>
      </c>
      <c r="C1550" s="44">
        <v>10233.469999999999</v>
      </c>
      <c r="E1550" s="50">
        <v>0</v>
      </c>
      <c r="F1550" s="50">
        <v>0</v>
      </c>
      <c r="G1550" s="51">
        <f t="shared" si="191"/>
        <v>0</v>
      </c>
      <c r="H1550" s="51">
        <f t="shared" si="192"/>
        <v>0</v>
      </c>
    </row>
    <row r="1551" spans="2:8" hidden="1" outlineLevel="2" x14ac:dyDescent="0.25">
      <c r="B1551" s="1" t="s">
        <v>154</v>
      </c>
      <c r="C1551" s="44">
        <v>1790.52</v>
      </c>
      <c r="E1551" s="50">
        <v>0</v>
      </c>
      <c r="F1551" s="50">
        <v>0</v>
      </c>
      <c r="G1551" s="51">
        <f t="shared" si="191"/>
        <v>0</v>
      </c>
      <c r="H1551" s="51">
        <f t="shared" si="192"/>
        <v>0</v>
      </c>
    </row>
    <row r="1552" spans="2:8" hidden="1" outlineLevel="2" x14ac:dyDescent="0.25">
      <c r="B1552" s="1" t="s">
        <v>155</v>
      </c>
      <c r="C1552" s="44">
        <v>605.75</v>
      </c>
      <c r="E1552" s="50">
        <v>0</v>
      </c>
      <c r="F1552" s="50">
        <v>0</v>
      </c>
      <c r="G1552" s="51">
        <f t="shared" si="191"/>
        <v>0</v>
      </c>
      <c r="H1552" s="51">
        <f t="shared" si="192"/>
        <v>0</v>
      </c>
    </row>
    <row r="1553" spans="2:8" hidden="1" outlineLevel="2" x14ac:dyDescent="0.25">
      <c r="B1553" s="1" t="s">
        <v>156</v>
      </c>
      <c r="C1553" s="44">
        <v>489.89</v>
      </c>
      <c r="E1553" s="50">
        <v>0</v>
      </c>
      <c r="F1553" s="50">
        <v>0</v>
      </c>
      <c r="G1553" s="51">
        <f t="shared" si="191"/>
        <v>0</v>
      </c>
      <c r="H1553" s="51">
        <f t="shared" si="192"/>
        <v>0</v>
      </c>
    </row>
    <row r="1554" spans="2:8" hidden="1" outlineLevel="2" x14ac:dyDescent="0.25">
      <c r="B1554" s="1" t="s">
        <v>157</v>
      </c>
      <c r="C1554" s="44">
        <v>231.43</v>
      </c>
      <c r="E1554" s="50">
        <v>0</v>
      </c>
      <c r="F1554" s="50">
        <v>0</v>
      </c>
      <c r="G1554" s="51">
        <f t="shared" si="191"/>
        <v>0</v>
      </c>
      <c r="H1554" s="51">
        <f t="shared" si="192"/>
        <v>0</v>
      </c>
    </row>
    <row r="1555" spans="2:8" hidden="1" outlineLevel="2" x14ac:dyDescent="0.25">
      <c r="B1555" s="1" t="s">
        <v>158</v>
      </c>
      <c r="C1555" s="44">
        <v>2226.65</v>
      </c>
      <c r="E1555" s="50">
        <v>0</v>
      </c>
      <c r="F1555" s="50">
        <v>0</v>
      </c>
      <c r="G1555" s="51">
        <f t="shared" si="191"/>
        <v>0</v>
      </c>
      <c r="H1555" s="51">
        <f t="shared" si="192"/>
        <v>0</v>
      </c>
    </row>
    <row r="1556" spans="2:8" hidden="1" outlineLevel="2" x14ac:dyDescent="0.25">
      <c r="B1556" s="1" t="s">
        <v>159</v>
      </c>
      <c r="C1556" s="44">
        <v>5399.22</v>
      </c>
      <c r="E1556" s="50">
        <v>0</v>
      </c>
      <c r="F1556" s="50">
        <v>0</v>
      </c>
      <c r="G1556" s="51">
        <f t="shared" si="191"/>
        <v>0</v>
      </c>
      <c r="H1556" s="51">
        <f t="shared" si="192"/>
        <v>0</v>
      </c>
    </row>
    <row r="1557" spans="2:8" hidden="1" outlineLevel="2" x14ac:dyDescent="0.25">
      <c r="B1557" s="1" t="s">
        <v>160</v>
      </c>
      <c r="C1557" s="44">
        <v>14539.28</v>
      </c>
      <c r="E1557" s="50">
        <v>0</v>
      </c>
      <c r="F1557" s="50">
        <v>0</v>
      </c>
      <c r="G1557" s="51">
        <f t="shared" si="191"/>
        <v>0</v>
      </c>
      <c r="H1557" s="51">
        <f t="shared" si="192"/>
        <v>0</v>
      </c>
    </row>
    <row r="1558" spans="2:8" hidden="1" outlineLevel="2" x14ac:dyDescent="0.25">
      <c r="B1558" s="1" t="s">
        <v>139</v>
      </c>
      <c r="C1558" s="44">
        <v>3345.03</v>
      </c>
      <c r="E1558" s="50">
        <v>0</v>
      </c>
      <c r="F1558" s="50">
        <v>0</v>
      </c>
      <c r="G1558" s="51">
        <f t="shared" si="191"/>
        <v>0</v>
      </c>
      <c r="H1558" s="51">
        <f t="shared" si="192"/>
        <v>0</v>
      </c>
    </row>
    <row r="1559" spans="2:8" hidden="1" outlineLevel="2" x14ac:dyDescent="0.25">
      <c r="B1559" s="1" t="s">
        <v>161</v>
      </c>
      <c r="C1559" s="44">
        <v>26392.14</v>
      </c>
      <c r="E1559" s="50">
        <v>0</v>
      </c>
      <c r="F1559" s="50">
        <v>0</v>
      </c>
      <c r="G1559" s="51">
        <f t="shared" si="191"/>
        <v>0</v>
      </c>
      <c r="H1559" s="51">
        <f t="shared" si="192"/>
        <v>0</v>
      </c>
    </row>
    <row r="1560" spans="2:8" hidden="1" outlineLevel="2" x14ac:dyDescent="0.25">
      <c r="B1560" s="1" t="s">
        <v>105</v>
      </c>
      <c r="C1560" s="44">
        <v>2094.73</v>
      </c>
      <c r="E1560" s="50">
        <v>0</v>
      </c>
      <c r="F1560" s="50">
        <v>0</v>
      </c>
      <c r="G1560" s="51">
        <f t="shared" si="191"/>
        <v>0</v>
      </c>
      <c r="H1560" s="51">
        <f t="shared" si="192"/>
        <v>0</v>
      </c>
    </row>
    <row r="1561" spans="2:8" hidden="1" outlineLevel="2" x14ac:dyDescent="0.25">
      <c r="B1561" s="1" t="s">
        <v>140</v>
      </c>
      <c r="C1561" s="44">
        <v>22883.13</v>
      </c>
      <c r="E1561" s="50">
        <v>0</v>
      </c>
      <c r="F1561" s="50">
        <v>0</v>
      </c>
      <c r="G1561" s="51">
        <f t="shared" si="191"/>
        <v>0</v>
      </c>
      <c r="H1561" s="51">
        <f t="shared" si="192"/>
        <v>0</v>
      </c>
    </row>
    <row r="1562" spans="2:8" hidden="1" outlineLevel="2" x14ac:dyDescent="0.25">
      <c r="B1562" s="1" t="s">
        <v>162</v>
      </c>
      <c r="C1562" s="44">
        <v>2156.7600000000002</v>
      </c>
      <c r="E1562" s="50">
        <v>0</v>
      </c>
      <c r="F1562" s="50">
        <v>0</v>
      </c>
      <c r="G1562" s="51">
        <f t="shared" si="191"/>
        <v>0</v>
      </c>
      <c r="H1562" s="51">
        <f t="shared" si="192"/>
        <v>0</v>
      </c>
    </row>
    <row r="1563" spans="2:8" outlineLevel="1" collapsed="1" x14ac:dyDescent="0.25">
      <c r="B1563" s="60" t="s">
        <v>163</v>
      </c>
      <c r="C1563" s="61">
        <v>49587.97</v>
      </c>
      <c r="E1563" s="62"/>
      <c r="F1563" s="62"/>
      <c r="G1563" s="63"/>
      <c r="H1563" s="63"/>
    </row>
    <row r="1564" spans="2:8" hidden="1" outlineLevel="2" x14ac:dyDescent="0.25">
      <c r="B1564" s="1" t="s">
        <v>112</v>
      </c>
      <c r="C1564" s="44">
        <v>2222.52</v>
      </c>
      <c r="E1564" s="50">
        <v>0</v>
      </c>
      <c r="F1564" s="50">
        <v>0</v>
      </c>
      <c r="G1564" s="51">
        <f t="shared" ref="G1564:G1570" si="193">+E1564*C1564</f>
        <v>0</v>
      </c>
      <c r="H1564" s="51">
        <f t="shared" ref="H1564:H1570" si="194">+F1564*C1564</f>
        <v>0</v>
      </c>
    </row>
    <row r="1565" spans="2:8" hidden="1" outlineLevel="2" x14ac:dyDescent="0.25">
      <c r="B1565" s="1" t="s">
        <v>164</v>
      </c>
      <c r="C1565" s="44">
        <v>9021.93</v>
      </c>
      <c r="E1565" s="50">
        <v>0</v>
      </c>
      <c r="F1565" s="50">
        <v>0</v>
      </c>
      <c r="G1565" s="51">
        <f t="shared" si="193"/>
        <v>0</v>
      </c>
      <c r="H1565" s="51">
        <f t="shared" si="194"/>
        <v>0</v>
      </c>
    </row>
    <row r="1566" spans="2:8" hidden="1" outlineLevel="2" x14ac:dyDescent="0.25">
      <c r="B1566" s="1" t="s">
        <v>165</v>
      </c>
      <c r="C1566" s="44">
        <v>8210.4</v>
      </c>
      <c r="E1566" s="50">
        <v>0</v>
      </c>
      <c r="F1566" s="50">
        <v>0</v>
      </c>
      <c r="G1566" s="51">
        <f t="shared" si="193"/>
        <v>0</v>
      </c>
      <c r="H1566" s="51">
        <f t="shared" si="194"/>
        <v>0</v>
      </c>
    </row>
    <row r="1567" spans="2:8" hidden="1" outlineLevel="2" x14ac:dyDescent="0.25">
      <c r="B1567" s="1" t="s">
        <v>166</v>
      </c>
      <c r="C1567" s="44">
        <v>5086.68</v>
      </c>
      <c r="E1567" s="50">
        <v>0</v>
      </c>
      <c r="F1567" s="50">
        <v>0</v>
      </c>
      <c r="G1567" s="51">
        <f t="shared" si="193"/>
        <v>0</v>
      </c>
      <c r="H1567" s="51">
        <f t="shared" si="194"/>
        <v>0</v>
      </c>
    </row>
    <row r="1568" spans="2:8" hidden="1" outlineLevel="2" x14ac:dyDescent="0.25">
      <c r="B1568" s="1" t="s">
        <v>167</v>
      </c>
      <c r="C1568" s="44">
        <v>4289.05</v>
      </c>
      <c r="E1568" s="50">
        <v>0</v>
      </c>
      <c r="F1568" s="50">
        <v>0</v>
      </c>
      <c r="G1568" s="51">
        <f t="shared" si="193"/>
        <v>0</v>
      </c>
      <c r="H1568" s="51">
        <f t="shared" si="194"/>
        <v>0</v>
      </c>
    </row>
    <row r="1569" spans="2:8" hidden="1" outlineLevel="2" x14ac:dyDescent="0.25">
      <c r="B1569" s="1" t="s">
        <v>168</v>
      </c>
      <c r="C1569" s="44">
        <v>18662.66</v>
      </c>
      <c r="E1569" s="50">
        <v>0</v>
      </c>
      <c r="F1569" s="50">
        <v>0</v>
      </c>
      <c r="G1569" s="51">
        <f t="shared" si="193"/>
        <v>0</v>
      </c>
      <c r="H1569" s="51">
        <f t="shared" si="194"/>
        <v>0</v>
      </c>
    </row>
    <row r="1570" spans="2:8" hidden="1" outlineLevel="2" x14ac:dyDescent="0.25">
      <c r="B1570" s="1" t="s">
        <v>105</v>
      </c>
      <c r="C1570" s="44">
        <v>2094.73</v>
      </c>
      <c r="E1570" s="50">
        <v>0</v>
      </c>
      <c r="F1570" s="50">
        <v>0</v>
      </c>
      <c r="G1570" s="51">
        <f t="shared" si="193"/>
        <v>0</v>
      </c>
      <c r="H1570" s="51">
        <f t="shared" si="194"/>
        <v>0</v>
      </c>
    </row>
    <row r="1571" spans="2:8" outlineLevel="1" collapsed="1" x14ac:dyDescent="0.25">
      <c r="B1571" s="60" t="s">
        <v>169</v>
      </c>
      <c r="C1571" s="61">
        <v>4217</v>
      </c>
      <c r="E1571" s="62"/>
      <c r="F1571" s="62"/>
      <c r="G1571" s="63"/>
      <c r="H1571" s="63"/>
    </row>
    <row r="1572" spans="2:8" hidden="1" outlineLevel="2" x14ac:dyDescent="0.25">
      <c r="B1572" s="1" t="s">
        <v>170</v>
      </c>
      <c r="C1572" s="44">
        <v>1676</v>
      </c>
      <c r="E1572" s="50">
        <v>0</v>
      </c>
      <c r="F1572" s="50">
        <v>0</v>
      </c>
      <c r="G1572" s="51">
        <f t="shared" ref="G1572:G1573" si="195">+E1572*C1572</f>
        <v>0</v>
      </c>
      <c r="H1572" s="51">
        <f t="shared" ref="H1572:H1573" si="196">+F1572*C1572</f>
        <v>0</v>
      </c>
    </row>
    <row r="1573" spans="2:8" hidden="1" outlineLevel="2" x14ac:dyDescent="0.25">
      <c r="B1573" s="1" t="s">
        <v>171</v>
      </c>
      <c r="C1573" s="44">
        <v>2541</v>
      </c>
      <c r="E1573" s="50">
        <v>0</v>
      </c>
      <c r="F1573" s="50">
        <v>0</v>
      </c>
      <c r="G1573" s="51">
        <f t="shared" si="195"/>
        <v>0</v>
      </c>
      <c r="H1573" s="51">
        <f t="shared" si="196"/>
        <v>0</v>
      </c>
    </row>
    <row r="1574" spans="2:8" outlineLevel="1" collapsed="1" x14ac:dyDescent="0.25">
      <c r="B1574" s="60" t="s">
        <v>172</v>
      </c>
      <c r="C1574" s="61">
        <v>22126.14</v>
      </c>
      <c r="E1574" s="62"/>
      <c r="F1574" s="62"/>
      <c r="G1574" s="63"/>
      <c r="H1574" s="63"/>
    </row>
    <row r="1575" spans="2:8" hidden="1" outlineLevel="2" x14ac:dyDescent="0.25">
      <c r="B1575" s="1" t="s">
        <v>173</v>
      </c>
      <c r="C1575" s="44">
        <v>4130.46</v>
      </c>
      <c r="E1575" s="50">
        <v>0</v>
      </c>
      <c r="F1575" s="50">
        <v>0</v>
      </c>
      <c r="G1575" s="51">
        <f t="shared" ref="G1575:G1576" si="197">+E1575*C1575</f>
        <v>0</v>
      </c>
      <c r="H1575" s="51">
        <f t="shared" ref="H1575:H1576" si="198">+F1575*C1575</f>
        <v>0</v>
      </c>
    </row>
    <row r="1576" spans="2:8" hidden="1" outlineLevel="2" x14ac:dyDescent="0.25">
      <c r="B1576" s="1" t="s">
        <v>174</v>
      </c>
      <c r="C1576" s="44">
        <v>17995.68</v>
      </c>
      <c r="E1576" s="50">
        <v>0</v>
      </c>
      <c r="F1576" s="50">
        <v>0</v>
      </c>
      <c r="G1576" s="51">
        <f t="shared" si="197"/>
        <v>0</v>
      </c>
      <c r="H1576" s="51">
        <f t="shared" si="198"/>
        <v>0</v>
      </c>
    </row>
    <row r="1577" spans="2:8" outlineLevel="1" collapsed="1" x14ac:dyDescent="0.25">
      <c r="B1577" s="60" t="s">
        <v>175</v>
      </c>
      <c r="C1577" s="61">
        <v>103730</v>
      </c>
      <c r="E1577" s="62"/>
      <c r="F1577" s="62"/>
      <c r="G1577" s="63"/>
      <c r="H1577" s="63"/>
    </row>
    <row r="1578" spans="2:8" hidden="1" outlineLevel="2" x14ac:dyDescent="0.25">
      <c r="B1578" s="1" t="s">
        <v>176</v>
      </c>
      <c r="C1578" s="44">
        <v>2170.59</v>
      </c>
      <c r="E1578" s="50">
        <v>0</v>
      </c>
      <c r="F1578" s="50">
        <v>0</v>
      </c>
      <c r="G1578" s="51">
        <f t="shared" ref="G1578:G1595" si="199">+E1578*C1578</f>
        <v>0</v>
      </c>
      <c r="H1578" s="51">
        <f t="shared" ref="H1578:H1595" si="200">+F1578*C1578</f>
        <v>0</v>
      </c>
    </row>
    <row r="1579" spans="2:8" hidden="1" outlineLevel="2" x14ac:dyDescent="0.25">
      <c r="B1579" s="1" t="s">
        <v>177</v>
      </c>
      <c r="C1579" s="44">
        <v>742.82</v>
      </c>
      <c r="E1579" s="50">
        <v>0</v>
      </c>
      <c r="F1579" s="50">
        <v>0</v>
      </c>
      <c r="G1579" s="51">
        <f t="shared" si="199"/>
        <v>0</v>
      </c>
      <c r="H1579" s="51">
        <f t="shared" si="200"/>
        <v>0</v>
      </c>
    </row>
    <row r="1580" spans="2:8" hidden="1" outlineLevel="2" x14ac:dyDescent="0.25">
      <c r="B1580" s="1" t="s">
        <v>178</v>
      </c>
      <c r="C1580" s="44">
        <v>73.760000000000005</v>
      </c>
      <c r="E1580" s="50">
        <v>0</v>
      </c>
      <c r="F1580" s="50">
        <v>0</v>
      </c>
      <c r="G1580" s="51">
        <f t="shared" si="199"/>
        <v>0</v>
      </c>
      <c r="H1580" s="51">
        <f t="shared" si="200"/>
        <v>0</v>
      </c>
    </row>
    <row r="1581" spans="2:8" hidden="1" outlineLevel="2" x14ac:dyDescent="0.25">
      <c r="B1581" s="1" t="s">
        <v>179</v>
      </c>
      <c r="C1581" s="44">
        <v>431.46</v>
      </c>
      <c r="E1581" s="50">
        <v>0</v>
      </c>
      <c r="F1581" s="50">
        <v>0</v>
      </c>
      <c r="G1581" s="51">
        <f t="shared" si="199"/>
        <v>0</v>
      </c>
      <c r="H1581" s="51">
        <f t="shared" si="200"/>
        <v>0</v>
      </c>
    </row>
    <row r="1582" spans="2:8" hidden="1" outlineLevel="2" x14ac:dyDescent="0.25">
      <c r="B1582" s="1" t="s">
        <v>180</v>
      </c>
      <c r="C1582" s="44">
        <v>2375.46</v>
      </c>
      <c r="E1582" s="50">
        <v>0</v>
      </c>
      <c r="F1582" s="50">
        <v>0</v>
      </c>
      <c r="G1582" s="51">
        <f t="shared" si="199"/>
        <v>0</v>
      </c>
      <c r="H1582" s="51">
        <f t="shared" si="200"/>
        <v>0</v>
      </c>
    </row>
    <row r="1583" spans="2:8" hidden="1" outlineLevel="2" x14ac:dyDescent="0.25">
      <c r="B1583" s="1" t="s">
        <v>95</v>
      </c>
      <c r="C1583" s="44">
        <v>444.83</v>
      </c>
      <c r="E1583" s="50">
        <v>0</v>
      </c>
      <c r="F1583" s="50">
        <v>0</v>
      </c>
      <c r="G1583" s="51">
        <f t="shared" si="199"/>
        <v>0</v>
      </c>
      <c r="H1583" s="51">
        <f t="shared" si="200"/>
        <v>0</v>
      </c>
    </row>
    <row r="1584" spans="2:8" hidden="1" outlineLevel="2" x14ac:dyDescent="0.25">
      <c r="B1584" s="1" t="s">
        <v>181</v>
      </c>
      <c r="C1584" s="44">
        <v>3122.01</v>
      </c>
      <c r="E1584" s="50">
        <v>0</v>
      </c>
      <c r="F1584" s="50">
        <v>0</v>
      </c>
      <c r="G1584" s="51">
        <f t="shared" si="199"/>
        <v>0</v>
      </c>
      <c r="H1584" s="51">
        <f t="shared" si="200"/>
        <v>0</v>
      </c>
    </row>
    <row r="1585" spans="2:8" hidden="1" outlineLevel="2" x14ac:dyDescent="0.25">
      <c r="B1585" s="1" t="s">
        <v>182</v>
      </c>
      <c r="C1585" s="44">
        <v>210.33</v>
      </c>
      <c r="E1585" s="50">
        <v>0</v>
      </c>
      <c r="F1585" s="50">
        <v>0</v>
      </c>
      <c r="G1585" s="51">
        <f t="shared" si="199"/>
        <v>0</v>
      </c>
      <c r="H1585" s="51">
        <f t="shared" si="200"/>
        <v>0</v>
      </c>
    </row>
    <row r="1586" spans="2:8" hidden="1" outlineLevel="2" x14ac:dyDescent="0.25">
      <c r="B1586" s="1" t="s">
        <v>98</v>
      </c>
      <c r="C1586" s="44">
        <v>1</v>
      </c>
      <c r="E1586" s="50">
        <v>0</v>
      </c>
      <c r="F1586" s="50">
        <v>0</v>
      </c>
      <c r="G1586" s="51">
        <f t="shared" si="199"/>
        <v>0</v>
      </c>
      <c r="H1586" s="51">
        <f t="shared" si="200"/>
        <v>0</v>
      </c>
    </row>
    <row r="1587" spans="2:8" hidden="1" outlineLevel="2" x14ac:dyDescent="0.25">
      <c r="B1587" s="1" t="s">
        <v>183</v>
      </c>
      <c r="C1587" s="44">
        <v>5038.08</v>
      </c>
      <c r="E1587" s="50">
        <v>0</v>
      </c>
      <c r="F1587" s="50">
        <v>0</v>
      </c>
      <c r="G1587" s="51">
        <f t="shared" si="199"/>
        <v>0</v>
      </c>
      <c r="H1587" s="51">
        <f t="shared" si="200"/>
        <v>0</v>
      </c>
    </row>
    <row r="1588" spans="2:8" hidden="1" outlineLevel="2" x14ac:dyDescent="0.25">
      <c r="B1588" s="1" t="s">
        <v>184</v>
      </c>
      <c r="C1588" s="44">
        <v>17945.02</v>
      </c>
      <c r="E1588" s="50">
        <v>0</v>
      </c>
      <c r="F1588" s="50">
        <v>0</v>
      </c>
      <c r="G1588" s="51">
        <f t="shared" si="199"/>
        <v>0</v>
      </c>
      <c r="H1588" s="51">
        <f t="shared" si="200"/>
        <v>0</v>
      </c>
    </row>
    <row r="1589" spans="2:8" hidden="1" outlineLevel="2" x14ac:dyDescent="0.25">
      <c r="B1589" s="1" t="s">
        <v>105</v>
      </c>
      <c r="C1589" s="44">
        <v>1029.23</v>
      </c>
      <c r="E1589" s="50">
        <v>0</v>
      </c>
      <c r="F1589" s="50">
        <v>0</v>
      </c>
      <c r="G1589" s="51">
        <f t="shared" si="199"/>
        <v>0</v>
      </c>
      <c r="H1589" s="51">
        <f t="shared" si="200"/>
        <v>0</v>
      </c>
    </row>
    <row r="1590" spans="2:8" hidden="1" outlineLevel="2" x14ac:dyDescent="0.25">
      <c r="B1590" s="1" t="s">
        <v>185</v>
      </c>
      <c r="C1590" s="44">
        <v>33719.4</v>
      </c>
      <c r="E1590" s="50">
        <v>0</v>
      </c>
      <c r="F1590" s="50">
        <v>0</v>
      </c>
      <c r="G1590" s="51">
        <f t="shared" si="199"/>
        <v>0</v>
      </c>
      <c r="H1590" s="51">
        <f t="shared" si="200"/>
        <v>0</v>
      </c>
    </row>
    <row r="1591" spans="2:8" hidden="1" outlineLevel="2" x14ac:dyDescent="0.25">
      <c r="B1591" s="1" t="s">
        <v>186</v>
      </c>
      <c r="C1591" s="44">
        <v>6661.78</v>
      </c>
      <c r="E1591" s="50">
        <v>0</v>
      </c>
      <c r="F1591" s="50">
        <v>0</v>
      </c>
      <c r="G1591" s="51">
        <f t="shared" si="199"/>
        <v>0</v>
      </c>
      <c r="H1591" s="51">
        <f t="shared" si="200"/>
        <v>0</v>
      </c>
    </row>
    <row r="1592" spans="2:8" hidden="1" outlineLevel="2" x14ac:dyDescent="0.25">
      <c r="B1592" s="1" t="s">
        <v>105</v>
      </c>
      <c r="C1592" s="44">
        <v>341.35</v>
      </c>
      <c r="E1592" s="50">
        <v>0</v>
      </c>
      <c r="F1592" s="50">
        <v>0</v>
      </c>
      <c r="G1592" s="51">
        <f t="shared" si="199"/>
        <v>0</v>
      </c>
      <c r="H1592" s="51">
        <f t="shared" si="200"/>
        <v>0</v>
      </c>
    </row>
    <row r="1593" spans="2:8" hidden="1" outlineLevel="2" x14ac:dyDescent="0.25">
      <c r="B1593" s="1" t="s">
        <v>187</v>
      </c>
      <c r="C1593" s="44">
        <v>732.54</v>
      </c>
      <c r="E1593" s="50">
        <v>0</v>
      </c>
      <c r="F1593" s="50">
        <v>0</v>
      </c>
      <c r="G1593" s="51">
        <f t="shared" si="199"/>
        <v>0</v>
      </c>
      <c r="H1593" s="51">
        <f t="shared" si="200"/>
        <v>0</v>
      </c>
    </row>
    <row r="1594" spans="2:8" hidden="1" outlineLevel="2" x14ac:dyDescent="0.25">
      <c r="B1594" s="1" t="s">
        <v>188</v>
      </c>
      <c r="C1594" s="44">
        <v>0</v>
      </c>
      <c r="E1594" s="50">
        <v>0</v>
      </c>
      <c r="F1594" s="50">
        <v>0</v>
      </c>
      <c r="G1594" s="51">
        <f t="shared" si="199"/>
        <v>0</v>
      </c>
      <c r="H1594" s="51">
        <f t="shared" si="200"/>
        <v>0</v>
      </c>
    </row>
    <row r="1595" spans="2:8" hidden="1" outlineLevel="2" x14ac:dyDescent="0.25">
      <c r="B1595" s="1" t="s">
        <v>189</v>
      </c>
      <c r="C1595" s="44">
        <v>28690.34</v>
      </c>
      <c r="E1595" s="50">
        <v>0</v>
      </c>
      <c r="F1595" s="50">
        <v>0</v>
      </c>
      <c r="G1595" s="51">
        <f t="shared" si="199"/>
        <v>0</v>
      </c>
      <c r="H1595" s="51">
        <f t="shared" si="200"/>
        <v>0</v>
      </c>
    </row>
    <row r="1596" spans="2:8" outlineLevel="1" collapsed="1" x14ac:dyDescent="0.25">
      <c r="B1596" s="60" t="s">
        <v>190</v>
      </c>
      <c r="C1596" s="61">
        <v>132417.71</v>
      </c>
      <c r="E1596" s="62"/>
      <c r="F1596" s="62"/>
      <c r="G1596" s="63"/>
      <c r="H1596" s="63"/>
    </row>
    <row r="1597" spans="2:8" hidden="1" outlineLevel="2" x14ac:dyDescent="0.25">
      <c r="B1597" s="1" t="s">
        <v>191</v>
      </c>
      <c r="C1597" s="44">
        <v>70780.960000000006</v>
      </c>
      <c r="E1597" s="50">
        <v>0</v>
      </c>
      <c r="F1597" s="50">
        <v>0</v>
      </c>
      <c r="G1597" s="51">
        <f t="shared" ref="G1597:G1600" si="201">+E1597*C1597</f>
        <v>0</v>
      </c>
      <c r="H1597" s="51">
        <f t="shared" ref="H1597:H1600" si="202">+F1597*C1597</f>
        <v>0</v>
      </c>
    </row>
    <row r="1598" spans="2:8" hidden="1" outlineLevel="2" x14ac:dyDescent="0.25">
      <c r="B1598" s="1" t="s">
        <v>192</v>
      </c>
      <c r="C1598" s="44">
        <v>40492.239999999998</v>
      </c>
      <c r="E1598" s="50">
        <v>0</v>
      </c>
      <c r="F1598" s="50">
        <v>0</v>
      </c>
      <c r="G1598" s="51">
        <f t="shared" si="201"/>
        <v>0</v>
      </c>
      <c r="H1598" s="51">
        <f t="shared" si="202"/>
        <v>0</v>
      </c>
    </row>
    <row r="1599" spans="2:8" hidden="1" outlineLevel="2" x14ac:dyDescent="0.25">
      <c r="B1599" s="1" t="s">
        <v>193</v>
      </c>
      <c r="C1599" s="44">
        <v>19337.86</v>
      </c>
      <c r="E1599" s="50">
        <v>0</v>
      </c>
      <c r="F1599" s="50">
        <v>0</v>
      </c>
      <c r="G1599" s="51">
        <f t="shared" si="201"/>
        <v>0</v>
      </c>
      <c r="H1599" s="51">
        <f t="shared" si="202"/>
        <v>0</v>
      </c>
    </row>
    <row r="1600" spans="2:8" hidden="1" outlineLevel="2" x14ac:dyDescent="0.25">
      <c r="B1600" s="1" t="s">
        <v>194</v>
      </c>
      <c r="C1600" s="44">
        <v>1806.65</v>
      </c>
      <c r="E1600" s="50">
        <v>0</v>
      </c>
      <c r="F1600" s="50">
        <v>0</v>
      </c>
      <c r="G1600" s="51">
        <f t="shared" si="201"/>
        <v>0</v>
      </c>
      <c r="H1600" s="51">
        <f t="shared" si="202"/>
        <v>0</v>
      </c>
    </row>
    <row r="1601" spans="2:8" outlineLevel="1" collapsed="1" x14ac:dyDescent="0.25">
      <c r="B1601" s="60" t="s">
        <v>195</v>
      </c>
      <c r="C1601" s="61">
        <v>186135.04000000001</v>
      </c>
      <c r="E1601" s="62"/>
      <c r="F1601" s="62"/>
      <c r="G1601" s="63"/>
      <c r="H1601" s="63"/>
    </row>
    <row r="1602" spans="2:8" hidden="1" outlineLevel="2" x14ac:dyDescent="0.25">
      <c r="B1602" s="1" t="s">
        <v>196</v>
      </c>
      <c r="C1602" s="44">
        <v>89347.38</v>
      </c>
      <c r="E1602" s="50">
        <v>0</v>
      </c>
      <c r="F1602" s="50">
        <v>0</v>
      </c>
      <c r="G1602" s="51">
        <f t="shared" ref="G1602:G1607" si="203">+E1602*C1602</f>
        <v>0</v>
      </c>
      <c r="H1602" s="51">
        <f t="shared" ref="H1602:H1607" si="204">+F1602*C1602</f>
        <v>0</v>
      </c>
    </row>
    <row r="1603" spans="2:8" hidden="1" outlineLevel="2" x14ac:dyDescent="0.25">
      <c r="B1603" s="1" t="s">
        <v>197</v>
      </c>
      <c r="C1603" s="44">
        <v>33243.03</v>
      </c>
      <c r="E1603" s="50">
        <v>0</v>
      </c>
      <c r="F1603" s="50">
        <v>0</v>
      </c>
      <c r="G1603" s="51">
        <f t="shared" si="203"/>
        <v>0</v>
      </c>
      <c r="H1603" s="51">
        <f t="shared" si="204"/>
        <v>0</v>
      </c>
    </row>
    <row r="1604" spans="2:8" hidden="1" outlineLevel="2" x14ac:dyDescent="0.25">
      <c r="B1604" s="1" t="s">
        <v>198</v>
      </c>
      <c r="C1604" s="44">
        <v>4696.1499999999996</v>
      </c>
      <c r="E1604" s="50">
        <v>0</v>
      </c>
      <c r="F1604" s="50">
        <v>0</v>
      </c>
      <c r="G1604" s="51">
        <f t="shared" si="203"/>
        <v>0</v>
      </c>
      <c r="H1604" s="51">
        <f t="shared" si="204"/>
        <v>0</v>
      </c>
    </row>
    <row r="1605" spans="2:8" hidden="1" outlineLevel="2" x14ac:dyDescent="0.25">
      <c r="B1605" s="1" t="s">
        <v>199</v>
      </c>
      <c r="C1605" s="44">
        <v>36494.33</v>
      </c>
      <c r="E1605" s="50">
        <v>0</v>
      </c>
      <c r="F1605" s="50">
        <v>0</v>
      </c>
      <c r="G1605" s="51">
        <f t="shared" si="203"/>
        <v>0</v>
      </c>
      <c r="H1605" s="51">
        <f t="shared" si="204"/>
        <v>0</v>
      </c>
    </row>
    <row r="1606" spans="2:8" hidden="1" outlineLevel="2" x14ac:dyDescent="0.25">
      <c r="B1606" s="1" t="s">
        <v>200</v>
      </c>
      <c r="C1606" s="44">
        <v>12771.02</v>
      </c>
      <c r="E1606" s="50">
        <v>0</v>
      </c>
      <c r="F1606" s="50">
        <v>0</v>
      </c>
      <c r="G1606" s="51">
        <f t="shared" si="203"/>
        <v>0</v>
      </c>
      <c r="H1606" s="51">
        <f t="shared" si="204"/>
        <v>0</v>
      </c>
    </row>
    <row r="1607" spans="2:8" hidden="1" outlineLevel="2" x14ac:dyDescent="0.25">
      <c r="B1607" s="1" t="s">
        <v>201</v>
      </c>
      <c r="C1607" s="44">
        <v>9583.1299999999992</v>
      </c>
      <c r="E1607" s="50">
        <v>0</v>
      </c>
      <c r="F1607" s="50">
        <v>0</v>
      </c>
      <c r="G1607" s="51">
        <f t="shared" si="203"/>
        <v>0</v>
      </c>
      <c r="H1607" s="51">
        <f t="shared" si="204"/>
        <v>0</v>
      </c>
    </row>
    <row r="1608" spans="2:8" outlineLevel="1" collapsed="1" x14ac:dyDescent="0.25">
      <c r="B1608" s="60" t="s">
        <v>202</v>
      </c>
      <c r="C1608" s="61">
        <v>83682.61</v>
      </c>
      <c r="E1608" s="62"/>
      <c r="F1608" s="62"/>
      <c r="G1608" s="63"/>
      <c r="H1608" s="63"/>
    </row>
    <row r="1609" spans="2:8" hidden="1" outlineLevel="2" x14ac:dyDescent="0.25">
      <c r="B1609" s="1" t="s">
        <v>203</v>
      </c>
      <c r="C1609" s="44">
        <v>36988.629999999997</v>
      </c>
      <c r="E1609" s="50">
        <v>0</v>
      </c>
      <c r="F1609" s="50">
        <v>0</v>
      </c>
      <c r="G1609" s="51">
        <f t="shared" ref="G1609:G1622" si="205">+E1609*C1609</f>
        <v>0</v>
      </c>
      <c r="H1609" s="51">
        <f t="shared" ref="H1609:H1622" si="206">+F1609*C1609</f>
        <v>0</v>
      </c>
    </row>
    <row r="1610" spans="2:8" hidden="1" outlineLevel="2" x14ac:dyDescent="0.25">
      <c r="B1610" s="1" t="s">
        <v>204</v>
      </c>
      <c r="C1610" s="44">
        <v>28103.47</v>
      </c>
      <c r="E1610" s="50">
        <v>0</v>
      </c>
      <c r="F1610" s="50">
        <v>0</v>
      </c>
      <c r="G1610" s="51">
        <f t="shared" si="205"/>
        <v>0</v>
      </c>
      <c r="H1610" s="51">
        <f t="shared" si="206"/>
        <v>0</v>
      </c>
    </row>
    <row r="1611" spans="2:8" hidden="1" outlineLevel="2" x14ac:dyDescent="0.25">
      <c r="B1611" s="1" t="s">
        <v>205</v>
      </c>
      <c r="C1611" s="44">
        <v>8885.16</v>
      </c>
      <c r="E1611" s="50">
        <v>0</v>
      </c>
      <c r="F1611" s="50">
        <v>0</v>
      </c>
      <c r="G1611" s="51">
        <f t="shared" si="205"/>
        <v>0</v>
      </c>
      <c r="H1611" s="51">
        <f t="shared" si="206"/>
        <v>0</v>
      </c>
    </row>
    <row r="1612" spans="2:8" hidden="1" outlineLevel="2" x14ac:dyDescent="0.25">
      <c r="B1612" s="1" t="s">
        <v>206</v>
      </c>
      <c r="C1612" s="44">
        <v>35371.5</v>
      </c>
      <c r="E1612" s="50">
        <v>0</v>
      </c>
      <c r="F1612" s="50">
        <v>0</v>
      </c>
      <c r="G1612" s="51">
        <f t="shared" si="205"/>
        <v>0</v>
      </c>
      <c r="H1612" s="51">
        <f t="shared" si="206"/>
        <v>0</v>
      </c>
    </row>
    <row r="1613" spans="2:8" hidden="1" outlineLevel="2" x14ac:dyDescent="0.25">
      <c r="B1613" s="1" t="s">
        <v>204</v>
      </c>
      <c r="C1613" s="44">
        <v>7843.75</v>
      </c>
      <c r="E1613" s="50">
        <v>0</v>
      </c>
      <c r="F1613" s="50">
        <v>0</v>
      </c>
      <c r="G1613" s="51">
        <f t="shared" si="205"/>
        <v>0</v>
      </c>
      <c r="H1613" s="51">
        <f t="shared" si="206"/>
        <v>0</v>
      </c>
    </row>
    <row r="1614" spans="2:8" hidden="1" outlineLevel="2" x14ac:dyDescent="0.25">
      <c r="B1614" s="1" t="s">
        <v>205</v>
      </c>
      <c r="C1614" s="44">
        <v>5000.1499999999996</v>
      </c>
      <c r="E1614" s="50">
        <v>0</v>
      </c>
      <c r="F1614" s="50">
        <v>0</v>
      </c>
      <c r="G1614" s="51">
        <f t="shared" si="205"/>
        <v>0</v>
      </c>
      <c r="H1614" s="51">
        <f t="shared" si="206"/>
        <v>0</v>
      </c>
    </row>
    <row r="1615" spans="2:8" hidden="1" outlineLevel="2" x14ac:dyDescent="0.25">
      <c r="B1615" s="1" t="s">
        <v>207</v>
      </c>
      <c r="C1615" s="44">
        <v>2806.17</v>
      </c>
      <c r="E1615" s="50">
        <v>0</v>
      </c>
      <c r="F1615" s="50">
        <v>0</v>
      </c>
      <c r="G1615" s="51">
        <f t="shared" si="205"/>
        <v>0</v>
      </c>
      <c r="H1615" s="51">
        <f t="shared" si="206"/>
        <v>0</v>
      </c>
    </row>
    <row r="1616" spans="2:8" hidden="1" outlineLevel="2" x14ac:dyDescent="0.25">
      <c r="B1616" s="1" t="s">
        <v>208</v>
      </c>
      <c r="C1616" s="44">
        <v>871.42</v>
      </c>
      <c r="E1616" s="50">
        <v>0</v>
      </c>
      <c r="F1616" s="50">
        <v>0</v>
      </c>
      <c r="G1616" s="51">
        <f t="shared" si="205"/>
        <v>0</v>
      </c>
      <c r="H1616" s="51">
        <f t="shared" si="206"/>
        <v>0</v>
      </c>
    </row>
    <row r="1617" spans="2:8" hidden="1" outlineLevel="2" x14ac:dyDescent="0.25">
      <c r="B1617" s="1" t="s">
        <v>209</v>
      </c>
      <c r="C1617" s="44">
        <v>13382.48</v>
      </c>
      <c r="E1617" s="50">
        <v>0</v>
      </c>
      <c r="F1617" s="50">
        <v>0</v>
      </c>
      <c r="G1617" s="51">
        <f t="shared" si="205"/>
        <v>0</v>
      </c>
      <c r="H1617" s="51">
        <f t="shared" si="206"/>
        <v>0</v>
      </c>
    </row>
    <row r="1618" spans="2:8" hidden="1" outlineLevel="2" x14ac:dyDescent="0.25">
      <c r="B1618" s="1" t="s">
        <v>210</v>
      </c>
      <c r="C1618" s="44">
        <v>2419.6999999999998</v>
      </c>
      <c r="E1618" s="50">
        <v>0</v>
      </c>
      <c r="F1618" s="50">
        <v>0</v>
      </c>
      <c r="G1618" s="51">
        <f t="shared" si="205"/>
        <v>0</v>
      </c>
      <c r="H1618" s="51">
        <f t="shared" si="206"/>
        <v>0</v>
      </c>
    </row>
    <row r="1619" spans="2:8" hidden="1" outlineLevel="2" x14ac:dyDescent="0.25">
      <c r="B1619" s="1" t="s">
        <v>211</v>
      </c>
      <c r="C1619" s="44">
        <v>3047.83</v>
      </c>
      <c r="E1619" s="50">
        <v>0</v>
      </c>
      <c r="F1619" s="50">
        <v>0</v>
      </c>
      <c r="G1619" s="51">
        <f t="shared" si="205"/>
        <v>0</v>
      </c>
      <c r="H1619" s="51">
        <f t="shared" si="206"/>
        <v>0</v>
      </c>
    </row>
    <row r="1620" spans="2:8" hidden="1" outlineLevel="2" x14ac:dyDescent="0.25">
      <c r="B1620" s="1" t="s">
        <v>56</v>
      </c>
      <c r="C1620" s="44">
        <v>11322.48</v>
      </c>
      <c r="E1620" s="50">
        <v>0</v>
      </c>
      <c r="F1620" s="50">
        <v>0</v>
      </c>
      <c r="G1620" s="51">
        <f t="shared" si="205"/>
        <v>0</v>
      </c>
      <c r="H1620" s="51">
        <f t="shared" si="206"/>
        <v>0</v>
      </c>
    </row>
    <row r="1621" spans="2:8" hidden="1" outlineLevel="2" x14ac:dyDescent="0.25">
      <c r="B1621" s="1" t="s">
        <v>204</v>
      </c>
      <c r="C1621" s="44">
        <v>7411.85</v>
      </c>
      <c r="E1621" s="50">
        <v>0</v>
      </c>
      <c r="F1621" s="50">
        <v>0</v>
      </c>
      <c r="G1621" s="51">
        <f t="shared" si="205"/>
        <v>0</v>
      </c>
      <c r="H1621" s="51">
        <f t="shared" si="206"/>
        <v>0</v>
      </c>
    </row>
    <row r="1622" spans="2:8" hidden="1" outlineLevel="2" x14ac:dyDescent="0.25">
      <c r="B1622" s="1" t="s">
        <v>205</v>
      </c>
      <c r="C1622" s="44">
        <v>3910.63</v>
      </c>
      <c r="E1622" s="50">
        <v>0</v>
      </c>
      <c r="F1622" s="50">
        <v>0</v>
      </c>
      <c r="G1622" s="51">
        <f t="shared" si="205"/>
        <v>0</v>
      </c>
      <c r="H1622" s="51">
        <f t="shared" si="206"/>
        <v>0</v>
      </c>
    </row>
    <row r="1623" spans="2:8" outlineLevel="1" collapsed="1" x14ac:dyDescent="0.25">
      <c r="B1623" s="60" t="s">
        <v>212</v>
      </c>
      <c r="C1623" s="61">
        <v>601.23</v>
      </c>
      <c r="E1623" s="62"/>
      <c r="F1623" s="62"/>
      <c r="G1623" s="63"/>
      <c r="H1623" s="63"/>
    </row>
    <row r="1624" spans="2:8" hidden="1" outlineLevel="2" x14ac:dyDescent="0.25">
      <c r="B1624" s="1" t="s">
        <v>213</v>
      </c>
      <c r="C1624" s="44">
        <v>601.23</v>
      </c>
      <c r="E1624" s="50">
        <v>0</v>
      </c>
      <c r="F1624" s="50">
        <v>0</v>
      </c>
      <c r="G1624" s="51">
        <f t="shared" ref="G1624" si="207">+E1624*C1624</f>
        <v>0</v>
      </c>
      <c r="H1624" s="51">
        <f t="shared" ref="H1624" si="208">+F1624*C1624</f>
        <v>0</v>
      </c>
    </row>
    <row r="1625" spans="2:8" outlineLevel="1" collapsed="1" x14ac:dyDescent="0.25">
      <c r="B1625" s="60" t="s">
        <v>214</v>
      </c>
      <c r="C1625" s="61">
        <v>6748</v>
      </c>
      <c r="E1625" s="62"/>
      <c r="F1625" s="62"/>
      <c r="G1625" s="63"/>
      <c r="H1625" s="63"/>
    </row>
    <row r="1626" spans="2:8" hidden="1" outlineLevel="2" x14ac:dyDescent="0.25">
      <c r="B1626" s="1" t="s">
        <v>215</v>
      </c>
      <c r="C1626" s="44">
        <v>4908</v>
      </c>
      <c r="E1626" s="50">
        <v>0</v>
      </c>
      <c r="F1626" s="50">
        <v>0</v>
      </c>
      <c r="G1626" s="51">
        <f t="shared" ref="G1626:G1627" si="209">+E1626*C1626</f>
        <v>0</v>
      </c>
      <c r="H1626" s="51">
        <f t="shared" ref="H1626:H1627" si="210">+F1626*C1626</f>
        <v>0</v>
      </c>
    </row>
    <row r="1627" spans="2:8" hidden="1" outlineLevel="2" x14ac:dyDescent="0.25">
      <c r="B1627" s="1" t="s">
        <v>216</v>
      </c>
      <c r="C1627" s="44">
        <v>1840</v>
      </c>
      <c r="E1627" s="50">
        <v>0</v>
      </c>
      <c r="F1627" s="50">
        <v>0</v>
      </c>
      <c r="G1627" s="51">
        <f t="shared" si="209"/>
        <v>0</v>
      </c>
      <c r="H1627" s="51">
        <f t="shared" si="210"/>
        <v>0</v>
      </c>
    </row>
    <row r="1628" spans="2:8" outlineLevel="1" collapsed="1" x14ac:dyDescent="0.25">
      <c r="B1628" s="60" t="s">
        <v>217</v>
      </c>
      <c r="C1628" s="61">
        <v>84000.59</v>
      </c>
      <c r="E1628" s="62"/>
      <c r="F1628" s="62"/>
      <c r="G1628" s="63"/>
      <c r="H1628" s="63"/>
    </row>
    <row r="1629" spans="2:8" hidden="1" outlineLevel="2" x14ac:dyDescent="0.25">
      <c r="B1629" s="1" t="s">
        <v>218</v>
      </c>
      <c r="C1629" s="44">
        <v>22907.69</v>
      </c>
      <c r="E1629" s="50">
        <v>0</v>
      </c>
      <c r="F1629" s="50">
        <v>0</v>
      </c>
      <c r="G1629" s="51">
        <f t="shared" ref="G1629:G1634" si="211">+E1629*C1629</f>
        <v>0</v>
      </c>
      <c r="H1629" s="51">
        <f t="shared" ref="H1629:H1634" si="212">+F1629*C1629</f>
        <v>0</v>
      </c>
    </row>
    <row r="1630" spans="2:8" hidden="1" outlineLevel="2" x14ac:dyDescent="0.25">
      <c r="B1630" s="1" t="s">
        <v>219</v>
      </c>
      <c r="C1630" s="44">
        <v>13744.6</v>
      </c>
      <c r="E1630" s="50">
        <v>0</v>
      </c>
      <c r="F1630" s="50">
        <v>0</v>
      </c>
      <c r="G1630" s="51">
        <f t="shared" si="211"/>
        <v>0</v>
      </c>
      <c r="H1630" s="51">
        <f t="shared" si="212"/>
        <v>0</v>
      </c>
    </row>
    <row r="1631" spans="2:8" hidden="1" outlineLevel="2" x14ac:dyDescent="0.25">
      <c r="B1631" s="1" t="s">
        <v>220</v>
      </c>
      <c r="C1631" s="44">
        <v>5059.93</v>
      </c>
      <c r="E1631" s="50">
        <v>0</v>
      </c>
      <c r="F1631" s="50">
        <v>0</v>
      </c>
      <c r="G1631" s="51">
        <f t="shared" si="211"/>
        <v>0</v>
      </c>
      <c r="H1631" s="51">
        <f t="shared" si="212"/>
        <v>0</v>
      </c>
    </row>
    <row r="1632" spans="2:8" hidden="1" outlineLevel="2" x14ac:dyDescent="0.25">
      <c r="B1632" s="1" t="s">
        <v>221</v>
      </c>
      <c r="C1632" s="44">
        <v>16035.38</v>
      </c>
      <c r="E1632" s="50">
        <v>0</v>
      </c>
      <c r="F1632" s="50">
        <v>0</v>
      </c>
      <c r="G1632" s="51">
        <f t="shared" si="211"/>
        <v>0</v>
      </c>
      <c r="H1632" s="51">
        <f t="shared" si="212"/>
        <v>0</v>
      </c>
    </row>
    <row r="1633" spans="2:8" hidden="1" outlineLevel="2" x14ac:dyDescent="0.25">
      <c r="B1633" s="1" t="s">
        <v>222</v>
      </c>
      <c r="C1633" s="44">
        <v>20239.72</v>
      </c>
      <c r="E1633" s="50">
        <v>0</v>
      </c>
      <c r="F1633" s="50">
        <v>0</v>
      </c>
      <c r="G1633" s="51">
        <f t="shared" si="211"/>
        <v>0</v>
      </c>
      <c r="H1633" s="51">
        <f t="shared" si="212"/>
        <v>0</v>
      </c>
    </row>
    <row r="1634" spans="2:8" hidden="1" outlineLevel="2" x14ac:dyDescent="0.25">
      <c r="B1634" s="1" t="s">
        <v>223</v>
      </c>
      <c r="C1634" s="44">
        <v>6013.27</v>
      </c>
      <c r="E1634" s="50">
        <v>0</v>
      </c>
      <c r="F1634" s="50">
        <v>0</v>
      </c>
      <c r="G1634" s="51">
        <f t="shared" si="211"/>
        <v>0</v>
      </c>
      <c r="H1634" s="51">
        <f t="shared" si="212"/>
        <v>0</v>
      </c>
    </row>
    <row r="1635" spans="2:8" outlineLevel="1" collapsed="1" x14ac:dyDescent="0.25">
      <c r="B1635" s="60" t="s">
        <v>224</v>
      </c>
      <c r="C1635" s="61">
        <v>69227.91</v>
      </c>
      <c r="E1635" s="62"/>
      <c r="F1635" s="62"/>
      <c r="G1635" s="63"/>
      <c r="H1635" s="63"/>
    </row>
    <row r="1636" spans="2:8" hidden="1" outlineLevel="2" x14ac:dyDescent="0.25">
      <c r="B1636" s="1" t="s">
        <v>225</v>
      </c>
      <c r="C1636" s="44">
        <v>15352.29</v>
      </c>
      <c r="E1636" s="50">
        <v>0</v>
      </c>
      <c r="F1636" s="50">
        <v>0</v>
      </c>
      <c r="G1636" s="51">
        <f t="shared" ref="G1636:G1639" si="213">+E1636*C1636</f>
        <v>0</v>
      </c>
      <c r="H1636" s="51">
        <f t="shared" ref="H1636:H1639" si="214">+F1636*C1636</f>
        <v>0</v>
      </c>
    </row>
    <row r="1637" spans="2:8" hidden="1" outlineLevel="2" x14ac:dyDescent="0.25">
      <c r="B1637" s="1" t="s">
        <v>226</v>
      </c>
      <c r="C1637" s="44">
        <v>24149.67</v>
      </c>
      <c r="E1637" s="50">
        <v>0</v>
      </c>
      <c r="F1637" s="50">
        <v>0</v>
      </c>
      <c r="G1637" s="51">
        <f t="shared" si="213"/>
        <v>0</v>
      </c>
      <c r="H1637" s="51">
        <f t="shared" si="214"/>
        <v>0</v>
      </c>
    </row>
    <row r="1638" spans="2:8" hidden="1" outlineLevel="2" x14ac:dyDescent="0.25">
      <c r="B1638" s="1" t="s">
        <v>227</v>
      </c>
      <c r="C1638" s="44">
        <v>24149.67</v>
      </c>
      <c r="E1638" s="50">
        <v>0</v>
      </c>
      <c r="F1638" s="50">
        <v>0</v>
      </c>
      <c r="G1638" s="51">
        <f t="shared" si="213"/>
        <v>0</v>
      </c>
      <c r="H1638" s="51">
        <f t="shared" si="214"/>
        <v>0</v>
      </c>
    </row>
    <row r="1639" spans="2:8" hidden="1" outlineLevel="2" x14ac:dyDescent="0.25">
      <c r="B1639" s="1" t="s">
        <v>228</v>
      </c>
      <c r="C1639" s="44">
        <v>5576.28</v>
      </c>
      <c r="E1639" s="50">
        <v>0</v>
      </c>
      <c r="F1639" s="50">
        <v>0</v>
      </c>
      <c r="G1639" s="51">
        <f t="shared" si="213"/>
        <v>0</v>
      </c>
      <c r="H1639" s="51">
        <f t="shared" si="214"/>
        <v>0</v>
      </c>
    </row>
    <row r="1640" spans="2:8" outlineLevel="1" collapsed="1" x14ac:dyDescent="0.25">
      <c r="B1640" s="60" t="s">
        <v>229</v>
      </c>
      <c r="C1640" s="61">
        <v>84201.54</v>
      </c>
      <c r="E1640" s="62"/>
      <c r="F1640" s="62"/>
      <c r="G1640" s="63"/>
      <c r="H1640" s="63"/>
    </row>
    <row r="1641" spans="2:8" hidden="1" outlineLevel="2" x14ac:dyDescent="0.25">
      <c r="B1641" s="1" t="s">
        <v>230</v>
      </c>
      <c r="C1641" s="44">
        <v>12127.73</v>
      </c>
      <c r="E1641" s="50">
        <v>0</v>
      </c>
      <c r="F1641" s="50">
        <v>0</v>
      </c>
      <c r="G1641" s="51">
        <f t="shared" ref="G1641:G1657" si="215">+E1641*C1641</f>
        <v>0</v>
      </c>
      <c r="H1641" s="51">
        <f t="shared" ref="H1641:H1657" si="216">+F1641*C1641</f>
        <v>0</v>
      </c>
    </row>
    <row r="1642" spans="2:8" hidden="1" outlineLevel="2" x14ac:dyDescent="0.25">
      <c r="B1642" s="1" t="s">
        <v>231</v>
      </c>
      <c r="C1642" s="44">
        <v>2414.94</v>
      </c>
      <c r="E1642" s="50">
        <v>0</v>
      </c>
      <c r="F1642" s="50">
        <v>0</v>
      </c>
      <c r="G1642" s="51">
        <f t="shared" si="215"/>
        <v>0</v>
      </c>
      <c r="H1642" s="51">
        <f t="shared" si="216"/>
        <v>0</v>
      </c>
    </row>
    <row r="1643" spans="2:8" hidden="1" outlineLevel="2" x14ac:dyDescent="0.25">
      <c r="B1643" s="1" t="s">
        <v>232</v>
      </c>
      <c r="C1643" s="44">
        <v>747.48</v>
      </c>
      <c r="E1643" s="50">
        <v>0</v>
      </c>
      <c r="F1643" s="50">
        <v>0</v>
      </c>
      <c r="G1643" s="51">
        <f t="shared" si="215"/>
        <v>0</v>
      </c>
      <c r="H1643" s="51">
        <f t="shared" si="216"/>
        <v>0</v>
      </c>
    </row>
    <row r="1644" spans="2:8" hidden="1" outlineLevel="2" x14ac:dyDescent="0.25">
      <c r="B1644" s="1" t="s">
        <v>233</v>
      </c>
      <c r="C1644" s="44">
        <v>5851.14</v>
      </c>
      <c r="E1644" s="50">
        <v>0</v>
      </c>
      <c r="F1644" s="50">
        <v>0</v>
      </c>
      <c r="G1644" s="51">
        <f t="shared" si="215"/>
        <v>0</v>
      </c>
      <c r="H1644" s="51">
        <f t="shared" si="216"/>
        <v>0</v>
      </c>
    </row>
    <row r="1645" spans="2:8" hidden="1" outlineLevel="2" x14ac:dyDescent="0.25">
      <c r="B1645" s="1" t="s">
        <v>234</v>
      </c>
      <c r="C1645" s="44">
        <v>2824.4</v>
      </c>
      <c r="E1645" s="50">
        <v>0</v>
      </c>
      <c r="F1645" s="50">
        <v>0</v>
      </c>
      <c r="G1645" s="51">
        <f t="shared" si="215"/>
        <v>0</v>
      </c>
      <c r="H1645" s="51">
        <f t="shared" si="216"/>
        <v>0</v>
      </c>
    </row>
    <row r="1646" spans="2:8" hidden="1" outlineLevel="2" x14ac:dyDescent="0.25">
      <c r="B1646" s="1" t="s">
        <v>235</v>
      </c>
      <c r="C1646" s="44">
        <v>1117.24</v>
      </c>
      <c r="E1646" s="50">
        <v>0</v>
      </c>
      <c r="F1646" s="50">
        <v>0</v>
      </c>
      <c r="G1646" s="51">
        <f t="shared" si="215"/>
        <v>0</v>
      </c>
      <c r="H1646" s="51">
        <f t="shared" si="216"/>
        <v>0</v>
      </c>
    </row>
    <row r="1647" spans="2:8" hidden="1" outlineLevel="2" x14ac:dyDescent="0.25">
      <c r="B1647" s="1" t="s">
        <v>236</v>
      </c>
      <c r="C1647" s="44">
        <v>2711.1</v>
      </c>
      <c r="E1647" s="50">
        <v>0</v>
      </c>
      <c r="F1647" s="50">
        <v>0</v>
      </c>
      <c r="G1647" s="51">
        <f t="shared" si="215"/>
        <v>0</v>
      </c>
      <c r="H1647" s="51">
        <f t="shared" si="216"/>
        <v>0</v>
      </c>
    </row>
    <row r="1648" spans="2:8" hidden="1" outlineLevel="2" x14ac:dyDescent="0.25">
      <c r="B1648" s="1" t="s">
        <v>237</v>
      </c>
      <c r="C1648" s="44">
        <v>4337.76</v>
      </c>
      <c r="E1648" s="50">
        <v>0</v>
      </c>
      <c r="F1648" s="50">
        <v>0</v>
      </c>
      <c r="G1648" s="51">
        <f t="shared" si="215"/>
        <v>0</v>
      </c>
      <c r="H1648" s="51">
        <f t="shared" si="216"/>
        <v>0</v>
      </c>
    </row>
    <row r="1649" spans="2:8" hidden="1" outlineLevel="2" x14ac:dyDescent="0.25">
      <c r="B1649" s="1" t="s">
        <v>238</v>
      </c>
      <c r="C1649" s="44">
        <v>10302.18</v>
      </c>
      <c r="E1649" s="50">
        <v>0</v>
      </c>
      <c r="F1649" s="50">
        <v>0</v>
      </c>
      <c r="G1649" s="51">
        <f t="shared" si="215"/>
        <v>0</v>
      </c>
      <c r="H1649" s="51">
        <f t="shared" si="216"/>
        <v>0</v>
      </c>
    </row>
    <row r="1650" spans="2:8" hidden="1" outlineLevel="2" x14ac:dyDescent="0.25">
      <c r="B1650" s="1" t="s">
        <v>239</v>
      </c>
      <c r="C1650" s="44">
        <v>5027.58</v>
      </c>
      <c r="E1650" s="50">
        <v>0</v>
      </c>
      <c r="F1650" s="50">
        <v>0</v>
      </c>
      <c r="G1650" s="51">
        <f t="shared" si="215"/>
        <v>0</v>
      </c>
      <c r="H1650" s="51">
        <f t="shared" si="216"/>
        <v>0</v>
      </c>
    </row>
    <row r="1651" spans="2:8" hidden="1" outlineLevel="2" x14ac:dyDescent="0.25">
      <c r="B1651" s="1" t="s">
        <v>240</v>
      </c>
      <c r="C1651" s="44">
        <v>3863.94</v>
      </c>
      <c r="E1651" s="50">
        <v>0</v>
      </c>
      <c r="F1651" s="50">
        <v>0</v>
      </c>
      <c r="G1651" s="51">
        <f t="shared" si="215"/>
        <v>0</v>
      </c>
      <c r="H1651" s="51">
        <f t="shared" si="216"/>
        <v>0</v>
      </c>
    </row>
    <row r="1652" spans="2:8" hidden="1" outlineLevel="2" x14ac:dyDescent="0.25">
      <c r="B1652" s="1" t="s">
        <v>241</v>
      </c>
      <c r="C1652" s="44">
        <v>11569.29</v>
      </c>
      <c r="E1652" s="50">
        <v>0</v>
      </c>
      <c r="F1652" s="50">
        <v>0</v>
      </c>
      <c r="G1652" s="51">
        <f t="shared" si="215"/>
        <v>0</v>
      </c>
      <c r="H1652" s="51">
        <f t="shared" si="216"/>
        <v>0</v>
      </c>
    </row>
    <row r="1653" spans="2:8" hidden="1" outlineLevel="2" x14ac:dyDescent="0.25">
      <c r="B1653" s="1" t="s">
        <v>242</v>
      </c>
      <c r="C1653" s="44">
        <v>3653.46</v>
      </c>
      <c r="E1653" s="50">
        <v>0</v>
      </c>
      <c r="F1653" s="50">
        <v>0</v>
      </c>
      <c r="G1653" s="51">
        <f t="shared" si="215"/>
        <v>0</v>
      </c>
      <c r="H1653" s="51">
        <f t="shared" si="216"/>
        <v>0</v>
      </c>
    </row>
    <row r="1654" spans="2:8" hidden="1" outlineLevel="2" x14ac:dyDescent="0.25">
      <c r="B1654" s="1" t="s">
        <v>243</v>
      </c>
      <c r="C1654" s="44">
        <v>1255.8</v>
      </c>
      <c r="E1654" s="50">
        <v>0</v>
      </c>
      <c r="F1654" s="50">
        <v>0</v>
      </c>
      <c r="G1654" s="51">
        <f t="shared" si="215"/>
        <v>0</v>
      </c>
      <c r="H1654" s="51">
        <f t="shared" si="216"/>
        <v>0</v>
      </c>
    </row>
    <row r="1655" spans="2:8" hidden="1" outlineLevel="2" x14ac:dyDescent="0.25">
      <c r="B1655" s="1" t="s">
        <v>244</v>
      </c>
      <c r="C1655" s="44">
        <v>2863.44</v>
      </c>
      <c r="E1655" s="50">
        <v>0</v>
      </c>
      <c r="F1655" s="50">
        <v>0</v>
      </c>
      <c r="G1655" s="51">
        <f t="shared" si="215"/>
        <v>0</v>
      </c>
      <c r="H1655" s="51">
        <f t="shared" si="216"/>
        <v>0</v>
      </c>
    </row>
    <row r="1656" spans="2:8" hidden="1" outlineLevel="2" x14ac:dyDescent="0.25">
      <c r="B1656" s="1" t="s">
        <v>245</v>
      </c>
      <c r="C1656" s="44">
        <v>3674.2</v>
      </c>
      <c r="E1656" s="50">
        <v>0</v>
      </c>
      <c r="F1656" s="50">
        <v>0</v>
      </c>
      <c r="G1656" s="51">
        <f t="shared" si="215"/>
        <v>0</v>
      </c>
      <c r="H1656" s="51">
        <f t="shared" si="216"/>
        <v>0</v>
      </c>
    </row>
    <row r="1657" spans="2:8" hidden="1" outlineLevel="2" x14ac:dyDescent="0.25">
      <c r="B1657" s="1" t="s">
        <v>246</v>
      </c>
      <c r="C1657" s="44">
        <v>9859.86</v>
      </c>
      <c r="E1657" s="50">
        <v>0</v>
      </c>
      <c r="F1657" s="50">
        <v>0</v>
      </c>
      <c r="G1657" s="51">
        <f t="shared" si="215"/>
        <v>0</v>
      </c>
      <c r="H1657" s="51">
        <f t="shared" si="216"/>
        <v>0</v>
      </c>
    </row>
    <row r="1658" spans="2:8" outlineLevel="1" collapsed="1" x14ac:dyDescent="0.25">
      <c r="B1658" s="60" t="s">
        <v>247</v>
      </c>
      <c r="C1658" s="61">
        <v>44739.77</v>
      </c>
      <c r="E1658" s="62"/>
      <c r="F1658" s="62"/>
      <c r="G1658" s="63"/>
      <c r="H1658" s="63"/>
    </row>
    <row r="1659" spans="2:8" hidden="1" outlineLevel="2" x14ac:dyDescent="0.25">
      <c r="B1659" s="1" t="s">
        <v>248</v>
      </c>
      <c r="C1659" s="44">
        <v>1693.92</v>
      </c>
      <c r="E1659" s="50">
        <v>0</v>
      </c>
      <c r="F1659" s="50">
        <v>0</v>
      </c>
      <c r="G1659" s="51">
        <f t="shared" ref="G1659:G1683" si="217">+E1659*C1659</f>
        <v>0</v>
      </c>
      <c r="H1659" s="51">
        <f t="shared" ref="H1659:H1683" si="218">+F1659*C1659</f>
        <v>0</v>
      </c>
    </row>
    <row r="1660" spans="2:8" hidden="1" outlineLevel="2" x14ac:dyDescent="0.25">
      <c r="B1660" s="1" t="s">
        <v>249</v>
      </c>
      <c r="C1660" s="44">
        <v>1322.48</v>
      </c>
      <c r="E1660" s="50">
        <v>0</v>
      </c>
      <c r="F1660" s="50">
        <v>0</v>
      </c>
      <c r="G1660" s="51">
        <f t="shared" si="217"/>
        <v>0</v>
      </c>
      <c r="H1660" s="51">
        <f t="shared" si="218"/>
        <v>0</v>
      </c>
    </row>
    <row r="1661" spans="2:8" hidden="1" outlineLevel="2" x14ac:dyDescent="0.25">
      <c r="B1661" s="1" t="s">
        <v>250</v>
      </c>
      <c r="C1661" s="44">
        <v>828.09</v>
      </c>
      <c r="E1661" s="50">
        <v>0</v>
      </c>
      <c r="F1661" s="50">
        <v>0</v>
      </c>
      <c r="G1661" s="51">
        <f t="shared" si="217"/>
        <v>0</v>
      </c>
      <c r="H1661" s="51">
        <f t="shared" si="218"/>
        <v>0</v>
      </c>
    </row>
    <row r="1662" spans="2:8" hidden="1" outlineLevel="2" x14ac:dyDescent="0.25">
      <c r="B1662" s="1" t="s">
        <v>251</v>
      </c>
      <c r="C1662" s="44">
        <v>1545.82</v>
      </c>
      <c r="E1662" s="50">
        <v>0</v>
      </c>
      <c r="F1662" s="50">
        <v>0</v>
      </c>
      <c r="G1662" s="51">
        <f t="shared" si="217"/>
        <v>0</v>
      </c>
      <c r="H1662" s="51">
        <f t="shared" si="218"/>
        <v>0</v>
      </c>
    </row>
    <row r="1663" spans="2:8" hidden="1" outlineLevel="2" x14ac:dyDescent="0.25">
      <c r="B1663" s="1" t="s">
        <v>252</v>
      </c>
      <c r="C1663" s="44">
        <v>1294.44</v>
      </c>
      <c r="E1663" s="50">
        <v>0</v>
      </c>
      <c r="F1663" s="50">
        <v>0</v>
      </c>
      <c r="G1663" s="51">
        <f t="shared" si="217"/>
        <v>0</v>
      </c>
      <c r="H1663" s="51">
        <f t="shared" si="218"/>
        <v>0</v>
      </c>
    </row>
    <row r="1664" spans="2:8" hidden="1" outlineLevel="2" x14ac:dyDescent="0.25">
      <c r="B1664" s="1" t="s">
        <v>253</v>
      </c>
      <c r="C1664" s="44">
        <v>4637.46</v>
      </c>
      <c r="E1664" s="50">
        <v>0</v>
      </c>
      <c r="F1664" s="50">
        <v>0</v>
      </c>
      <c r="G1664" s="51">
        <f t="shared" si="217"/>
        <v>0</v>
      </c>
      <c r="H1664" s="51">
        <f t="shared" si="218"/>
        <v>0</v>
      </c>
    </row>
    <row r="1665" spans="2:8" hidden="1" outlineLevel="2" x14ac:dyDescent="0.25">
      <c r="B1665" s="1" t="s">
        <v>254</v>
      </c>
      <c r="C1665" s="44">
        <v>561.44000000000005</v>
      </c>
      <c r="E1665" s="50">
        <v>0</v>
      </c>
      <c r="F1665" s="50">
        <v>0</v>
      </c>
      <c r="G1665" s="51">
        <f t="shared" si="217"/>
        <v>0</v>
      </c>
      <c r="H1665" s="51">
        <f t="shared" si="218"/>
        <v>0</v>
      </c>
    </row>
    <row r="1666" spans="2:8" hidden="1" outlineLevel="2" x14ac:dyDescent="0.25">
      <c r="B1666" s="1" t="s">
        <v>255</v>
      </c>
      <c r="C1666" s="44">
        <v>4960.26</v>
      </c>
      <c r="E1666" s="50">
        <v>0</v>
      </c>
      <c r="F1666" s="50">
        <v>0</v>
      </c>
      <c r="G1666" s="51">
        <f t="shared" si="217"/>
        <v>0</v>
      </c>
      <c r="H1666" s="51">
        <f t="shared" si="218"/>
        <v>0</v>
      </c>
    </row>
    <row r="1667" spans="2:8" hidden="1" outlineLevel="2" x14ac:dyDescent="0.25">
      <c r="B1667" s="1" t="s">
        <v>256</v>
      </c>
      <c r="C1667" s="44">
        <v>711.4</v>
      </c>
      <c r="E1667" s="50">
        <v>0</v>
      </c>
      <c r="F1667" s="50">
        <v>0</v>
      </c>
      <c r="G1667" s="51">
        <f t="shared" si="217"/>
        <v>0</v>
      </c>
      <c r="H1667" s="51">
        <f t="shared" si="218"/>
        <v>0</v>
      </c>
    </row>
    <row r="1668" spans="2:8" hidden="1" outlineLevel="2" x14ac:dyDescent="0.25">
      <c r="B1668" s="1" t="s">
        <v>257</v>
      </c>
      <c r="C1668" s="44">
        <v>769.21</v>
      </c>
      <c r="E1668" s="50">
        <v>0</v>
      </c>
      <c r="F1668" s="50">
        <v>0</v>
      </c>
      <c r="G1668" s="51">
        <f t="shared" si="217"/>
        <v>0</v>
      </c>
      <c r="H1668" s="51">
        <f t="shared" si="218"/>
        <v>0</v>
      </c>
    </row>
    <row r="1669" spans="2:8" hidden="1" outlineLevel="2" x14ac:dyDescent="0.25">
      <c r="B1669" s="1" t="s">
        <v>258</v>
      </c>
      <c r="C1669" s="44">
        <v>1422.8</v>
      </c>
      <c r="E1669" s="50">
        <v>0</v>
      </c>
      <c r="F1669" s="50">
        <v>0</v>
      </c>
      <c r="G1669" s="51">
        <f t="shared" si="217"/>
        <v>0</v>
      </c>
      <c r="H1669" s="51">
        <f t="shared" si="218"/>
        <v>0</v>
      </c>
    </row>
    <row r="1670" spans="2:8" hidden="1" outlineLevel="2" x14ac:dyDescent="0.25">
      <c r="B1670" s="1" t="s">
        <v>259</v>
      </c>
      <c r="C1670" s="44">
        <v>769.21</v>
      </c>
      <c r="E1670" s="50">
        <v>0</v>
      </c>
      <c r="F1670" s="50">
        <v>0</v>
      </c>
      <c r="G1670" s="51">
        <f t="shared" si="217"/>
        <v>0</v>
      </c>
      <c r="H1670" s="51">
        <f t="shared" si="218"/>
        <v>0</v>
      </c>
    </row>
    <row r="1671" spans="2:8" hidden="1" outlineLevel="2" x14ac:dyDescent="0.25">
      <c r="B1671" s="1" t="s">
        <v>260</v>
      </c>
      <c r="C1671" s="44">
        <v>2845.6</v>
      </c>
      <c r="E1671" s="50">
        <v>0</v>
      </c>
      <c r="F1671" s="50">
        <v>0</v>
      </c>
      <c r="G1671" s="51">
        <f t="shared" si="217"/>
        <v>0</v>
      </c>
      <c r="H1671" s="51">
        <f t="shared" si="218"/>
        <v>0</v>
      </c>
    </row>
    <row r="1672" spans="2:8" hidden="1" outlineLevel="2" x14ac:dyDescent="0.25">
      <c r="B1672" s="1" t="s">
        <v>261</v>
      </c>
      <c r="C1672" s="44">
        <v>1594.78</v>
      </c>
      <c r="E1672" s="50">
        <v>0</v>
      </c>
      <c r="F1672" s="50">
        <v>0</v>
      </c>
      <c r="G1672" s="51">
        <f t="shared" si="217"/>
        <v>0</v>
      </c>
      <c r="H1672" s="51">
        <f t="shared" si="218"/>
        <v>0</v>
      </c>
    </row>
    <row r="1673" spans="2:8" hidden="1" outlineLevel="2" x14ac:dyDescent="0.25">
      <c r="B1673" s="1" t="s">
        <v>262</v>
      </c>
      <c r="C1673" s="44">
        <v>1765.02</v>
      </c>
      <c r="E1673" s="50">
        <v>0</v>
      </c>
      <c r="F1673" s="50">
        <v>0</v>
      </c>
      <c r="G1673" s="51">
        <f t="shared" si="217"/>
        <v>0</v>
      </c>
      <c r="H1673" s="51">
        <f t="shared" si="218"/>
        <v>0</v>
      </c>
    </row>
    <row r="1674" spans="2:8" hidden="1" outlineLevel="2" x14ac:dyDescent="0.25">
      <c r="B1674" s="1" t="s">
        <v>263</v>
      </c>
      <c r="C1674" s="44">
        <v>2396.31</v>
      </c>
      <c r="E1674" s="50">
        <v>0</v>
      </c>
      <c r="F1674" s="50">
        <v>0</v>
      </c>
      <c r="G1674" s="51">
        <f t="shared" si="217"/>
        <v>0</v>
      </c>
      <c r="H1674" s="51">
        <f t="shared" si="218"/>
        <v>0</v>
      </c>
    </row>
    <row r="1675" spans="2:8" hidden="1" outlineLevel="2" x14ac:dyDescent="0.25">
      <c r="B1675" s="1" t="s">
        <v>264</v>
      </c>
      <c r="C1675" s="44">
        <v>1176.68</v>
      </c>
      <c r="E1675" s="50">
        <v>0</v>
      </c>
      <c r="F1675" s="50">
        <v>0</v>
      </c>
      <c r="G1675" s="51">
        <f t="shared" si="217"/>
        <v>0</v>
      </c>
      <c r="H1675" s="51">
        <f t="shared" si="218"/>
        <v>0</v>
      </c>
    </row>
    <row r="1676" spans="2:8" hidden="1" outlineLevel="2" x14ac:dyDescent="0.25">
      <c r="B1676" s="1" t="s">
        <v>265</v>
      </c>
      <c r="C1676" s="44">
        <v>797.39</v>
      </c>
      <c r="E1676" s="50">
        <v>0</v>
      </c>
      <c r="F1676" s="50">
        <v>0</v>
      </c>
      <c r="G1676" s="51">
        <f t="shared" si="217"/>
        <v>0</v>
      </c>
      <c r="H1676" s="51">
        <f t="shared" si="218"/>
        <v>0</v>
      </c>
    </row>
    <row r="1677" spans="2:8" hidden="1" outlineLevel="2" x14ac:dyDescent="0.25">
      <c r="B1677" s="1" t="s">
        <v>266</v>
      </c>
      <c r="C1677" s="44">
        <v>4437.96</v>
      </c>
      <c r="E1677" s="50">
        <v>0</v>
      </c>
      <c r="F1677" s="50">
        <v>0</v>
      </c>
      <c r="G1677" s="51">
        <f t="shared" si="217"/>
        <v>0</v>
      </c>
      <c r="H1677" s="51">
        <f t="shared" si="218"/>
        <v>0</v>
      </c>
    </row>
    <row r="1678" spans="2:8" hidden="1" outlineLevel="2" x14ac:dyDescent="0.25">
      <c r="B1678" s="1" t="s">
        <v>267</v>
      </c>
      <c r="C1678" s="44">
        <v>2001.51</v>
      </c>
      <c r="E1678" s="50">
        <v>0</v>
      </c>
      <c r="F1678" s="50">
        <v>0</v>
      </c>
      <c r="G1678" s="51">
        <f t="shared" si="217"/>
        <v>0</v>
      </c>
      <c r="H1678" s="51">
        <f t="shared" si="218"/>
        <v>0</v>
      </c>
    </row>
    <row r="1679" spans="2:8" hidden="1" outlineLevel="2" x14ac:dyDescent="0.25">
      <c r="B1679" s="1" t="s">
        <v>268</v>
      </c>
      <c r="C1679" s="44">
        <v>5226.34</v>
      </c>
      <c r="E1679" s="50">
        <v>0</v>
      </c>
      <c r="F1679" s="50">
        <v>0</v>
      </c>
      <c r="G1679" s="51">
        <f t="shared" si="217"/>
        <v>0</v>
      </c>
      <c r="H1679" s="51">
        <f t="shared" si="218"/>
        <v>0</v>
      </c>
    </row>
    <row r="1680" spans="2:8" hidden="1" outlineLevel="2" x14ac:dyDescent="0.25">
      <c r="B1680" s="1" t="s">
        <v>98</v>
      </c>
      <c r="C1680" s="44">
        <v>287.5</v>
      </c>
      <c r="E1680" s="50">
        <v>0</v>
      </c>
      <c r="F1680" s="50">
        <v>0</v>
      </c>
      <c r="G1680" s="51">
        <f t="shared" si="217"/>
        <v>0</v>
      </c>
      <c r="H1680" s="51">
        <f t="shared" si="218"/>
        <v>0</v>
      </c>
    </row>
    <row r="1681" spans="2:8" hidden="1" outlineLevel="2" x14ac:dyDescent="0.25">
      <c r="B1681" s="1" t="s">
        <v>95</v>
      </c>
      <c r="C1681" s="44">
        <v>287.5</v>
      </c>
      <c r="E1681" s="50">
        <v>0</v>
      </c>
      <c r="F1681" s="50">
        <v>0</v>
      </c>
      <c r="G1681" s="51">
        <f t="shared" si="217"/>
        <v>0</v>
      </c>
      <c r="H1681" s="51">
        <f t="shared" si="218"/>
        <v>0</v>
      </c>
    </row>
    <row r="1682" spans="2:8" hidden="1" outlineLevel="2" x14ac:dyDescent="0.25">
      <c r="B1682" s="1" t="s">
        <v>269</v>
      </c>
      <c r="C1682" s="44">
        <v>663.84</v>
      </c>
      <c r="E1682" s="50">
        <v>0</v>
      </c>
      <c r="F1682" s="50">
        <v>0</v>
      </c>
      <c r="G1682" s="51">
        <f t="shared" si="217"/>
        <v>0</v>
      </c>
      <c r="H1682" s="51">
        <f t="shared" si="218"/>
        <v>0</v>
      </c>
    </row>
    <row r="1683" spans="2:8" hidden="1" outlineLevel="2" x14ac:dyDescent="0.25">
      <c r="B1683" s="1" t="s">
        <v>270</v>
      </c>
      <c r="C1683" s="44">
        <v>742.81</v>
      </c>
      <c r="E1683" s="50">
        <v>0</v>
      </c>
      <c r="F1683" s="50">
        <v>0</v>
      </c>
      <c r="G1683" s="51">
        <f t="shared" si="217"/>
        <v>0</v>
      </c>
      <c r="H1683" s="51">
        <f t="shared" si="218"/>
        <v>0</v>
      </c>
    </row>
    <row r="1684" spans="2:8" outlineLevel="1" collapsed="1" x14ac:dyDescent="0.25">
      <c r="B1684" s="60" t="s">
        <v>271</v>
      </c>
      <c r="C1684" s="61">
        <v>7447.38</v>
      </c>
      <c r="E1684" s="62">
        <f>+G1684/C1684</f>
        <v>0</v>
      </c>
      <c r="F1684" s="62">
        <f>+H1684/C1684</f>
        <v>0</v>
      </c>
      <c r="G1684" s="63">
        <f>+G1685+G1686</f>
        <v>0</v>
      </c>
      <c r="H1684" s="63">
        <f>+H1685+H1686</f>
        <v>0</v>
      </c>
    </row>
    <row r="1685" spans="2:8" hidden="1" outlineLevel="2" x14ac:dyDescent="0.25">
      <c r="B1685" s="1" t="s">
        <v>272</v>
      </c>
      <c r="C1685" s="44">
        <v>6244.41</v>
      </c>
      <c r="E1685" s="50">
        <v>0</v>
      </c>
      <c r="F1685" s="50">
        <v>0</v>
      </c>
      <c r="G1685" s="51">
        <f t="shared" ref="G1685:G1686" si="219">+E1685*C1685</f>
        <v>0</v>
      </c>
      <c r="H1685" s="51">
        <f t="shared" ref="H1685:H1686" si="220">+F1685*C1685</f>
        <v>0</v>
      </c>
    </row>
    <row r="1686" spans="2:8" hidden="1" outlineLevel="2" x14ac:dyDescent="0.25">
      <c r="B1686" s="1" t="s">
        <v>81</v>
      </c>
      <c r="C1686" s="44">
        <v>1202.97</v>
      </c>
      <c r="E1686" s="50">
        <v>0</v>
      </c>
      <c r="F1686" s="50">
        <v>0</v>
      </c>
      <c r="G1686" s="51">
        <f t="shared" si="219"/>
        <v>0</v>
      </c>
      <c r="H1686" s="51">
        <f t="shared" si="220"/>
        <v>0</v>
      </c>
    </row>
    <row r="1687" spans="2:8" outlineLevel="1" collapsed="1" x14ac:dyDescent="0.25">
      <c r="B1687" s="60" t="s">
        <v>273</v>
      </c>
      <c r="C1687" s="61">
        <v>60980.65</v>
      </c>
      <c r="E1687" s="62"/>
      <c r="F1687" s="62"/>
      <c r="G1687" s="63"/>
      <c r="H1687" s="63"/>
    </row>
    <row r="1688" spans="2:8" hidden="1" outlineLevel="2" x14ac:dyDescent="0.25">
      <c r="B1688" s="1" t="s">
        <v>274</v>
      </c>
      <c r="C1688" s="44">
        <v>9496.2000000000007</v>
      </c>
      <c r="E1688" s="50">
        <v>0</v>
      </c>
      <c r="F1688" s="50">
        <v>0</v>
      </c>
      <c r="G1688" s="51">
        <f t="shared" ref="G1688:G1695" si="221">+E1688*C1688</f>
        <v>0</v>
      </c>
      <c r="H1688" s="51">
        <f t="shared" ref="H1688:H1695" si="222">+F1688*C1688</f>
        <v>0</v>
      </c>
    </row>
    <row r="1689" spans="2:8" hidden="1" outlineLevel="2" x14ac:dyDescent="0.25">
      <c r="B1689" s="1" t="s">
        <v>275</v>
      </c>
      <c r="C1689" s="44">
        <v>33355.86</v>
      </c>
      <c r="E1689" s="50">
        <v>0</v>
      </c>
      <c r="F1689" s="50">
        <v>0</v>
      </c>
      <c r="G1689" s="51">
        <f t="shared" si="221"/>
        <v>0</v>
      </c>
      <c r="H1689" s="51">
        <f t="shared" si="222"/>
        <v>0</v>
      </c>
    </row>
    <row r="1690" spans="2:8" hidden="1" outlineLevel="2" x14ac:dyDescent="0.25">
      <c r="B1690" s="1" t="s">
        <v>276</v>
      </c>
      <c r="C1690" s="44">
        <v>6045.86</v>
      </c>
      <c r="E1690" s="50">
        <v>0</v>
      </c>
      <c r="F1690" s="50">
        <v>0</v>
      </c>
      <c r="G1690" s="51">
        <f t="shared" si="221"/>
        <v>0</v>
      </c>
      <c r="H1690" s="51">
        <f t="shared" si="222"/>
        <v>0</v>
      </c>
    </row>
    <row r="1691" spans="2:8" hidden="1" outlineLevel="2" x14ac:dyDescent="0.25">
      <c r="B1691" s="1" t="s">
        <v>277</v>
      </c>
      <c r="C1691" s="44">
        <v>5513.04</v>
      </c>
      <c r="E1691" s="50">
        <v>0</v>
      </c>
      <c r="F1691" s="50">
        <v>0</v>
      </c>
      <c r="G1691" s="51">
        <f t="shared" si="221"/>
        <v>0</v>
      </c>
      <c r="H1691" s="51">
        <f t="shared" si="222"/>
        <v>0</v>
      </c>
    </row>
    <row r="1692" spans="2:8" hidden="1" outlineLevel="2" x14ac:dyDescent="0.25">
      <c r="B1692" s="1" t="s">
        <v>278</v>
      </c>
      <c r="C1692" s="44">
        <v>2336.73</v>
      </c>
      <c r="E1692" s="50">
        <v>0</v>
      </c>
      <c r="F1692" s="50">
        <v>0</v>
      </c>
      <c r="G1692" s="51">
        <f t="shared" si="221"/>
        <v>0</v>
      </c>
      <c r="H1692" s="51">
        <f t="shared" si="222"/>
        <v>0</v>
      </c>
    </row>
    <row r="1693" spans="2:8" hidden="1" outlineLevel="2" x14ac:dyDescent="0.25">
      <c r="B1693" s="1" t="s">
        <v>279</v>
      </c>
      <c r="C1693" s="44">
        <v>1557.82</v>
      </c>
      <c r="E1693" s="50">
        <v>0</v>
      </c>
      <c r="F1693" s="50">
        <v>0</v>
      </c>
      <c r="G1693" s="51">
        <f t="shared" si="221"/>
        <v>0</v>
      </c>
      <c r="H1693" s="51">
        <f t="shared" si="222"/>
        <v>0</v>
      </c>
    </row>
    <row r="1694" spans="2:8" hidden="1" outlineLevel="2" x14ac:dyDescent="0.25">
      <c r="B1694" s="1" t="s">
        <v>280</v>
      </c>
      <c r="C1694" s="44">
        <v>1837.02</v>
      </c>
      <c r="E1694" s="50">
        <v>0</v>
      </c>
      <c r="F1694" s="50">
        <v>0</v>
      </c>
      <c r="G1694" s="51">
        <f t="shared" si="221"/>
        <v>0</v>
      </c>
      <c r="H1694" s="51">
        <f t="shared" si="222"/>
        <v>0</v>
      </c>
    </row>
    <row r="1695" spans="2:8" hidden="1" outlineLevel="2" x14ac:dyDescent="0.25">
      <c r="B1695" s="1" t="s">
        <v>281</v>
      </c>
      <c r="C1695" s="44">
        <v>838.12</v>
      </c>
      <c r="E1695" s="50">
        <v>0</v>
      </c>
      <c r="F1695" s="50">
        <v>0</v>
      </c>
      <c r="G1695" s="51">
        <f t="shared" si="221"/>
        <v>0</v>
      </c>
      <c r="H1695" s="51">
        <f t="shared" si="222"/>
        <v>0</v>
      </c>
    </row>
    <row r="1696" spans="2:8" outlineLevel="1" collapsed="1" x14ac:dyDescent="0.25">
      <c r="B1696" s="60" t="s">
        <v>282</v>
      </c>
      <c r="C1696" s="61">
        <v>33942.879999999997</v>
      </c>
      <c r="E1696" s="62"/>
      <c r="F1696" s="62"/>
      <c r="G1696" s="63"/>
      <c r="H1696" s="63"/>
    </row>
    <row r="1697" spans="2:8" hidden="1" outlineLevel="2" x14ac:dyDescent="0.25">
      <c r="B1697" s="1" t="s">
        <v>283</v>
      </c>
      <c r="C1697" s="44">
        <v>1197.02</v>
      </c>
      <c r="E1697" s="50">
        <v>0</v>
      </c>
      <c r="F1697" s="50">
        <v>0</v>
      </c>
      <c r="G1697" s="51">
        <f t="shared" ref="G1697:G1702" si="223">+E1697*C1697</f>
        <v>0</v>
      </c>
      <c r="H1697" s="51">
        <f t="shared" ref="H1697:H1702" si="224">+F1697*C1697</f>
        <v>0</v>
      </c>
    </row>
    <row r="1698" spans="2:8" hidden="1" outlineLevel="2" x14ac:dyDescent="0.25">
      <c r="B1698" s="1" t="s">
        <v>284</v>
      </c>
      <c r="C1698" s="44">
        <v>1437.48</v>
      </c>
      <c r="E1698" s="50">
        <v>0</v>
      </c>
      <c r="F1698" s="50">
        <v>0</v>
      </c>
      <c r="G1698" s="51">
        <f t="shared" si="223"/>
        <v>0</v>
      </c>
      <c r="H1698" s="51">
        <f t="shared" si="224"/>
        <v>0</v>
      </c>
    </row>
    <row r="1699" spans="2:8" hidden="1" outlineLevel="2" x14ac:dyDescent="0.25">
      <c r="B1699" s="1" t="s">
        <v>285</v>
      </c>
      <c r="C1699" s="44">
        <v>431.24</v>
      </c>
      <c r="E1699" s="50">
        <v>0</v>
      </c>
      <c r="F1699" s="50">
        <v>0</v>
      </c>
      <c r="G1699" s="51">
        <f t="shared" si="223"/>
        <v>0</v>
      </c>
      <c r="H1699" s="51">
        <f t="shared" si="224"/>
        <v>0</v>
      </c>
    </row>
    <row r="1700" spans="2:8" hidden="1" outlineLevel="2" x14ac:dyDescent="0.25">
      <c r="B1700" s="1" t="s">
        <v>286</v>
      </c>
      <c r="C1700" s="44">
        <v>7647.39</v>
      </c>
      <c r="E1700" s="50">
        <v>0</v>
      </c>
      <c r="F1700" s="50">
        <v>0</v>
      </c>
      <c r="G1700" s="51">
        <f t="shared" si="223"/>
        <v>0</v>
      </c>
      <c r="H1700" s="51">
        <f t="shared" si="224"/>
        <v>0</v>
      </c>
    </row>
    <row r="1701" spans="2:8" hidden="1" outlineLevel="2" x14ac:dyDescent="0.25">
      <c r="B1701" s="1" t="s">
        <v>287</v>
      </c>
      <c r="C1701" s="44">
        <v>11232.46</v>
      </c>
      <c r="E1701" s="50">
        <v>0</v>
      </c>
      <c r="F1701" s="50">
        <v>0</v>
      </c>
      <c r="G1701" s="51">
        <f t="shared" si="223"/>
        <v>0</v>
      </c>
      <c r="H1701" s="51">
        <f t="shared" si="224"/>
        <v>0</v>
      </c>
    </row>
    <row r="1702" spans="2:8" hidden="1" outlineLevel="2" x14ac:dyDescent="0.25">
      <c r="B1702" s="1" t="s">
        <v>288</v>
      </c>
      <c r="C1702" s="44">
        <v>11997.29</v>
      </c>
      <c r="E1702" s="50">
        <v>0</v>
      </c>
      <c r="F1702" s="50">
        <v>0</v>
      </c>
      <c r="G1702" s="51">
        <f t="shared" si="223"/>
        <v>0</v>
      </c>
      <c r="H1702" s="51">
        <f t="shared" si="224"/>
        <v>0</v>
      </c>
    </row>
    <row r="1703" spans="2:8" outlineLevel="1" collapsed="1" x14ac:dyDescent="0.25">
      <c r="B1703" s="60" t="s">
        <v>289</v>
      </c>
      <c r="C1703" s="61">
        <v>12595.4</v>
      </c>
      <c r="E1703" s="62"/>
      <c r="F1703" s="62"/>
      <c r="G1703" s="63"/>
      <c r="H1703" s="63"/>
    </row>
    <row r="1704" spans="2:8" hidden="1" outlineLevel="2" x14ac:dyDescent="0.25">
      <c r="B1704" s="1" t="s">
        <v>290</v>
      </c>
      <c r="C1704" s="44">
        <v>1317.5</v>
      </c>
      <c r="E1704" s="50">
        <v>0</v>
      </c>
      <c r="F1704" s="50">
        <v>0</v>
      </c>
      <c r="G1704" s="51">
        <f t="shared" ref="G1704:G1706" si="225">+E1704*C1704</f>
        <v>0</v>
      </c>
      <c r="H1704" s="51">
        <f t="shared" ref="H1704:H1706" si="226">+F1704*C1704</f>
        <v>0</v>
      </c>
    </row>
    <row r="1705" spans="2:8" hidden="1" outlineLevel="2" x14ac:dyDescent="0.25">
      <c r="B1705" s="1" t="s">
        <v>291</v>
      </c>
      <c r="C1705" s="44">
        <v>1618.02</v>
      </c>
      <c r="E1705" s="50">
        <v>0</v>
      </c>
      <c r="F1705" s="50">
        <v>0</v>
      </c>
      <c r="G1705" s="51">
        <f t="shared" si="225"/>
        <v>0</v>
      </c>
      <c r="H1705" s="51">
        <f t="shared" si="226"/>
        <v>0</v>
      </c>
    </row>
    <row r="1706" spans="2:8" hidden="1" outlineLevel="2" x14ac:dyDescent="0.25">
      <c r="B1706" s="1" t="s">
        <v>292</v>
      </c>
      <c r="C1706" s="44">
        <v>9659.8799999999992</v>
      </c>
      <c r="E1706" s="50">
        <v>0</v>
      </c>
      <c r="F1706" s="50">
        <v>0</v>
      </c>
      <c r="G1706" s="51">
        <f t="shared" si="225"/>
        <v>0</v>
      </c>
      <c r="H1706" s="51">
        <f t="shared" si="226"/>
        <v>0</v>
      </c>
    </row>
    <row r="1707" spans="2:8" outlineLevel="1" collapsed="1" x14ac:dyDescent="0.25">
      <c r="B1707" s="60" t="s">
        <v>293</v>
      </c>
      <c r="C1707" s="61">
        <v>5273.89</v>
      </c>
      <c r="E1707" s="62"/>
      <c r="F1707" s="62"/>
      <c r="G1707" s="63"/>
      <c r="H1707" s="63"/>
    </row>
    <row r="1708" spans="2:8" hidden="1" outlineLevel="2" x14ac:dyDescent="0.25">
      <c r="B1708" s="1" t="s">
        <v>294</v>
      </c>
      <c r="C1708" s="44">
        <v>2229.8200000000002</v>
      </c>
      <c r="E1708" s="50">
        <v>0</v>
      </c>
      <c r="F1708" s="50">
        <v>0</v>
      </c>
      <c r="G1708" s="64">
        <f>+E1708*C1708</f>
        <v>0</v>
      </c>
      <c r="H1708" s="64">
        <f>+F1708*C1708</f>
        <v>0</v>
      </c>
    </row>
    <row r="1709" spans="2:8" hidden="1" outlineLevel="2" x14ac:dyDescent="0.25">
      <c r="B1709" s="1" t="s">
        <v>295</v>
      </c>
      <c r="C1709" s="44">
        <v>1083.8699999999999</v>
      </c>
      <c r="E1709" s="50">
        <v>0</v>
      </c>
      <c r="F1709" s="50">
        <v>0</v>
      </c>
      <c r="G1709" s="64">
        <f>+E1709*C1709</f>
        <v>0</v>
      </c>
      <c r="H1709" s="64">
        <f>+F1709*C1709</f>
        <v>0</v>
      </c>
    </row>
    <row r="1710" spans="2:8" hidden="1" outlineLevel="2" x14ac:dyDescent="0.25">
      <c r="B1710" s="1" t="s">
        <v>296</v>
      </c>
      <c r="C1710" s="44">
        <v>1960.2</v>
      </c>
      <c r="E1710" s="50">
        <v>0</v>
      </c>
      <c r="F1710" s="50">
        <v>0</v>
      </c>
      <c r="G1710" s="64">
        <f>+E1710*C1710</f>
        <v>0</v>
      </c>
      <c r="H1710" s="64">
        <f>+F1710*C1710</f>
        <v>0</v>
      </c>
    </row>
    <row r="1711" spans="2:8" outlineLevel="1" collapsed="1" x14ac:dyDescent="0.25">
      <c r="B1711" s="60" t="s">
        <v>297</v>
      </c>
      <c r="C1711" s="61">
        <v>26996.04</v>
      </c>
      <c r="E1711" s="62"/>
      <c r="F1711" s="62"/>
      <c r="G1711" s="63"/>
      <c r="H1711" s="63"/>
    </row>
    <row r="1712" spans="2:8" hidden="1" outlineLevel="2" x14ac:dyDescent="0.25">
      <c r="B1712" s="1" t="s">
        <v>298</v>
      </c>
      <c r="C1712" s="44">
        <v>26996.04</v>
      </c>
      <c r="E1712" s="50">
        <v>0</v>
      </c>
      <c r="F1712" s="50">
        <v>0</v>
      </c>
      <c r="G1712" s="64">
        <f>+E1712*C1712</f>
        <v>0</v>
      </c>
      <c r="H1712" s="64">
        <f>+F1712*C1712</f>
        <v>0</v>
      </c>
    </row>
    <row r="1713" spans="3:8" outlineLevel="1" collapsed="1" x14ac:dyDescent="0.25">
      <c r="C1713" s="44"/>
      <c r="G1713" s="64"/>
      <c r="H1713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O23"/>
  <sheetViews>
    <sheetView workbookViewId="0">
      <selection activeCell="M7" sqref="M7"/>
    </sheetView>
  </sheetViews>
  <sheetFormatPr baseColWidth="10" defaultRowHeight="15" x14ac:dyDescent="0.25"/>
  <cols>
    <col min="1" max="1" width="28" customWidth="1"/>
    <col min="2" max="2" width="13.7109375" bestFit="1" customWidth="1"/>
    <col min="3" max="38" width="13.85546875" customWidth="1"/>
    <col min="39" max="41" width="13.7109375" bestFit="1" customWidth="1"/>
  </cols>
  <sheetData>
    <row r="1" spans="1:41" x14ac:dyDescent="0.25">
      <c r="B1" s="41" t="s">
        <v>64</v>
      </c>
      <c r="C1" s="41" t="s">
        <v>65</v>
      </c>
      <c r="D1" s="41" t="s">
        <v>66</v>
      </c>
      <c r="E1" s="41" t="s">
        <v>67</v>
      </c>
      <c r="F1" s="41" t="s">
        <v>68</v>
      </c>
      <c r="G1" s="41" t="s">
        <v>69</v>
      </c>
      <c r="H1" s="41" t="s">
        <v>70</v>
      </c>
      <c r="I1" s="41" t="s">
        <v>71</v>
      </c>
      <c r="J1" s="41" t="s">
        <v>72</v>
      </c>
      <c r="K1" s="41" t="s">
        <v>73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  <c r="AM1" s="41" t="s">
        <v>463</v>
      </c>
      <c r="AN1" s="41" t="s">
        <v>464</v>
      </c>
    </row>
    <row r="3" spans="1:41" x14ac:dyDescent="0.25">
      <c r="A3" t="s">
        <v>61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  <c r="AM3" s="39"/>
      <c r="AN3" s="39"/>
    </row>
    <row r="4" spans="1:41" s="80" customFormat="1" x14ac:dyDescent="0.25">
      <c r="A4" s="86" t="s">
        <v>465</v>
      </c>
      <c r="B4" s="43">
        <v>0</v>
      </c>
      <c r="C4" s="43">
        <v>8251.84</v>
      </c>
      <c r="D4" s="43">
        <v>64843.320000000007</v>
      </c>
      <c r="E4" s="43">
        <v>144676.03859999997</v>
      </c>
      <c r="F4" s="43">
        <v>245626.28</v>
      </c>
      <c r="G4" s="43">
        <v>415713.20109999995</v>
      </c>
      <c r="H4" s="43">
        <v>682496.80009999988</v>
      </c>
      <c r="I4" s="43">
        <v>1203996.95</v>
      </c>
      <c r="J4" s="43">
        <f>1491652.52+61097.17</f>
        <v>1552749.69</v>
      </c>
      <c r="K4" s="43">
        <f>1884142.11+61097.17</f>
        <v>1945239.28</v>
      </c>
      <c r="L4" s="43">
        <v>2366192.83</v>
      </c>
      <c r="M4" s="43">
        <v>2834382.5</v>
      </c>
      <c r="N4" s="43">
        <v>3325274.23</v>
      </c>
      <c r="O4" s="43">
        <v>3708370.57</v>
      </c>
      <c r="P4" s="43">
        <v>4078517.84</v>
      </c>
      <c r="Q4" s="43">
        <v>4347134.53</v>
      </c>
      <c r="R4" s="43">
        <v>4621290.7300000004</v>
      </c>
      <c r="S4" s="43">
        <v>4828263.1300000008</v>
      </c>
      <c r="T4" s="43">
        <v>5101280.9600000009</v>
      </c>
      <c r="U4" s="43">
        <v>5667333.1000000006</v>
      </c>
      <c r="V4" s="43">
        <v>6173597.1700000009</v>
      </c>
      <c r="W4" s="43">
        <v>6910178.0200000014</v>
      </c>
      <c r="X4" s="43">
        <v>7736783.4700000016</v>
      </c>
      <c r="Y4" s="43">
        <v>8439440.6100000013</v>
      </c>
      <c r="Z4" s="43">
        <v>9092341.410000002</v>
      </c>
      <c r="AA4" s="43">
        <v>9945459.1100000013</v>
      </c>
      <c r="AB4" s="43">
        <v>10762121.710000001</v>
      </c>
      <c r="AC4" s="43">
        <v>11361852.270000001</v>
      </c>
      <c r="AD4" s="43">
        <v>11879005.280000001</v>
      </c>
      <c r="AE4" s="43">
        <v>12319856.950000001</v>
      </c>
      <c r="AF4" s="43">
        <v>12594391.300000001</v>
      </c>
      <c r="AG4" s="43">
        <v>12750631.32</v>
      </c>
      <c r="AH4" s="43">
        <v>12866345.84</v>
      </c>
      <c r="AI4" s="43">
        <v>12939693.24</v>
      </c>
      <c r="AJ4" s="43">
        <v>12977606.540000001</v>
      </c>
      <c r="AK4" s="43">
        <v>12988298.760000002</v>
      </c>
      <c r="AL4" s="43">
        <v>13019319.410000002</v>
      </c>
    </row>
    <row r="5" spans="1:41" s="80" customFormat="1" x14ac:dyDescent="0.25">
      <c r="A5" s="86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</row>
    <row r="6" spans="1:41" s="80" customFormat="1" x14ac:dyDescent="0.25">
      <c r="A6" t="s">
        <v>61</v>
      </c>
      <c r="B6" s="39">
        <v>0</v>
      </c>
      <c r="C6" s="39">
        <v>8251.84</v>
      </c>
      <c r="D6" s="39">
        <v>56591.48</v>
      </c>
      <c r="E6" s="39">
        <v>137533.68</v>
      </c>
      <c r="F6" s="39">
        <v>286436.26</v>
      </c>
      <c r="G6" s="39">
        <v>426067.55000000005</v>
      </c>
      <c r="H6" s="39">
        <v>432997.31999999995</v>
      </c>
      <c r="I6" s="39">
        <v>399305.8</v>
      </c>
      <c r="J6" s="39">
        <v>287655.56999999995</v>
      </c>
      <c r="K6" s="39">
        <v>392489.59</v>
      </c>
      <c r="L6" s="39">
        <v>482050.72</v>
      </c>
      <c r="M6" s="39">
        <v>468189.67</v>
      </c>
      <c r="N6" s="39">
        <v>490891.73000000004</v>
      </c>
      <c r="O6" s="39">
        <v>383096.34</v>
      </c>
      <c r="P6" s="39">
        <v>370147.27</v>
      </c>
      <c r="Q6" s="39">
        <v>268616.69</v>
      </c>
      <c r="R6" s="39">
        <f>274156.2+103094.22</f>
        <v>377250.42000000004</v>
      </c>
      <c r="S6" s="39">
        <f>206972.4+103094.22</f>
        <v>310066.62</v>
      </c>
      <c r="T6" s="39">
        <f>223017.83+103094.22+108871.45+133155.63</f>
        <v>568139.13</v>
      </c>
      <c r="U6" s="39">
        <f>266052.14+103094.22+108871.2</f>
        <v>478017.56</v>
      </c>
      <c r="V6" s="39">
        <f>506264.07+108871.2</f>
        <v>615135.27</v>
      </c>
      <c r="W6" s="39">
        <f>736580.85-28995.61</f>
        <v>707585.24</v>
      </c>
      <c r="X6" s="39">
        <v>826605.45000000007</v>
      </c>
      <c r="Y6" s="39">
        <v>702657.14000000013</v>
      </c>
      <c r="Z6" s="39">
        <v>652900.80000000005</v>
      </c>
      <c r="AA6" s="39">
        <v>853117.7</v>
      </c>
      <c r="AB6" s="39">
        <v>816662.59999999986</v>
      </c>
      <c r="AC6" s="39">
        <v>599730.55999999994</v>
      </c>
      <c r="AD6" s="39">
        <v>517153.01</v>
      </c>
      <c r="AE6" s="39">
        <v>440851.67000000004</v>
      </c>
      <c r="AF6" s="39">
        <v>274534.34999999998</v>
      </c>
      <c r="AG6" s="39">
        <v>156240.01999999999</v>
      </c>
      <c r="AH6" s="39">
        <v>115714.51999999999</v>
      </c>
      <c r="AI6" s="39">
        <v>73347.399999999994</v>
      </c>
      <c r="AJ6" s="39">
        <f>37913.3</f>
        <v>37913.300000000003</v>
      </c>
      <c r="AK6" s="39">
        <f>10692.22</f>
        <v>10692.22</v>
      </c>
      <c r="AL6" s="39">
        <f>2635.18+0.5</f>
        <v>2635.68</v>
      </c>
      <c r="AM6" s="39"/>
      <c r="AN6" s="39"/>
    </row>
    <row r="7" spans="1:41" s="80" customFormat="1" ht="14.25" customHeight="1" x14ac:dyDescent="0.25">
      <c r="A7" s="102" t="s">
        <v>462</v>
      </c>
      <c r="B7" s="43">
        <v>0</v>
      </c>
      <c r="C7" s="43">
        <v>8251.84</v>
      </c>
      <c r="D7" s="43">
        <v>64843.320000000007</v>
      </c>
      <c r="E7" s="43">
        <v>144676.03859999997</v>
      </c>
      <c r="F7" s="43">
        <v>245626.28</v>
      </c>
      <c r="G7" s="43">
        <v>415713.20109999995</v>
      </c>
      <c r="H7" s="43">
        <v>549341.17350000003</v>
      </c>
      <c r="I7" s="43">
        <v>739231.1706999999</v>
      </c>
      <c r="J7" s="43">
        <v>1026886.7406999998</v>
      </c>
      <c r="K7" s="43">
        <v>1372458.0274999999</v>
      </c>
      <c r="L7" s="43">
        <v>1724245.0067999999</v>
      </c>
      <c r="M7" s="244">
        <v>2192434.6768</v>
      </c>
      <c r="N7" s="43">
        <v>2683326.4068</v>
      </c>
      <c r="O7" s="43">
        <v>3113340.7467999998</v>
      </c>
      <c r="P7" s="43">
        <v>3483488.0167999999</v>
      </c>
      <c r="Q7" s="43">
        <v>3752104.7067999998</v>
      </c>
      <c r="R7" s="43">
        <v>4129355.1267999997</v>
      </c>
      <c r="S7" s="43">
        <v>4439421.7467999998</v>
      </c>
      <c r="T7" s="43">
        <v>5007560.8767999997</v>
      </c>
      <c r="U7" s="43">
        <v>5615842.4767999994</v>
      </c>
      <c r="V7" s="43">
        <v>6230977.7467999998</v>
      </c>
      <c r="W7" s="43">
        <v>6938562.9868000001</v>
      </c>
      <c r="X7" s="43">
        <v>7765168.4368000003</v>
      </c>
      <c r="Y7" s="43">
        <v>8467825.5767999999</v>
      </c>
      <c r="Z7" s="43">
        <v>9120726.3768000007</v>
      </c>
      <c r="AA7" s="43">
        <v>9973844.0767999999</v>
      </c>
      <c r="AB7" s="43">
        <v>10790506.6768</v>
      </c>
      <c r="AC7" s="43">
        <v>11390237.2368</v>
      </c>
      <c r="AD7" s="43">
        <v>11907390.2468</v>
      </c>
      <c r="AE7" s="43">
        <v>12348241.9168</v>
      </c>
      <c r="AF7" s="43">
        <v>12622776.266799999</v>
      </c>
      <c r="AG7" s="43">
        <v>12779016.286799999</v>
      </c>
      <c r="AH7" s="43">
        <v>12894730.806799999</v>
      </c>
      <c r="AI7" s="43">
        <v>12968078.206799999</v>
      </c>
      <c r="AJ7" s="43">
        <v>13005991.5068</v>
      </c>
      <c r="AK7" s="43">
        <v>13016683.7268</v>
      </c>
      <c r="AL7" s="43">
        <v>13019319.4068</v>
      </c>
      <c r="AM7" s="43"/>
      <c r="AN7" s="43"/>
      <c r="AO7" s="43"/>
    </row>
    <row r="8" spans="1:41" s="80" customFormat="1" x14ac:dyDescent="0.25">
      <c r="A8" s="86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41" x14ac:dyDescent="0.25">
      <c r="AL9" s="39">
        <f>+AL4-AL7</f>
        <v>3.2000020146369934E-3</v>
      </c>
      <c r="AN9" s="39"/>
    </row>
    <row r="10" spans="1:41" x14ac:dyDescent="0.25">
      <c r="A10" t="s">
        <v>62</v>
      </c>
      <c r="B10" s="39">
        <v>0</v>
      </c>
      <c r="C10" s="66">
        <f t="shared" ref="C10:M10" si="0">+C11-B11</f>
        <v>18548.614999999998</v>
      </c>
      <c r="D10" s="39">
        <f t="shared" si="0"/>
        <v>37030.511000000006</v>
      </c>
      <c r="E10" s="39">
        <f t="shared" si="0"/>
        <v>108638.16549999999</v>
      </c>
      <c r="F10" s="39">
        <f t="shared" si="0"/>
        <v>85790.108500000002</v>
      </c>
      <c r="G10" s="39">
        <f t="shared" si="0"/>
        <v>168397.36099999995</v>
      </c>
      <c r="H10" s="39">
        <f t="shared" si="0"/>
        <v>130936.41250000009</v>
      </c>
      <c r="I10" s="39">
        <f t="shared" si="0"/>
        <v>175033.32349999994</v>
      </c>
      <c r="J10" s="39">
        <f t="shared" si="0"/>
        <v>85320.919699999969</v>
      </c>
      <c r="K10" s="39">
        <f t="shared" si="0"/>
        <v>251786.97930000001</v>
      </c>
      <c r="L10" s="39">
        <f t="shared" si="0"/>
        <v>192979.76450000005</v>
      </c>
      <c r="M10" s="39">
        <f t="shared" si="0"/>
        <v>152335.2975000001</v>
      </c>
    </row>
    <row r="11" spans="1:41" s="80" customFormat="1" x14ac:dyDescent="0.25">
      <c r="A11" s="103" t="s">
        <v>63</v>
      </c>
      <c r="B11" s="43">
        <v>0</v>
      </c>
      <c r="C11" s="43">
        <v>18548.614999999998</v>
      </c>
      <c r="D11" s="43">
        <v>55579.126000000004</v>
      </c>
      <c r="E11" s="43">
        <v>164217.29149999999</v>
      </c>
      <c r="F11" s="43">
        <v>250007.4</v>
      </c>
      <c r="G11" s="43">
        <v>418404.76099999994</v>
      </c>
      <c r="H11" s="43">
        <v>549341.17350000003</v>
      </c>
      <c r="I11" s="43">
        <v>724374.49699999997</v>
      </c>
      <c r="J11" s="43">
        <v>809695.41669999994</v>
      </c>
      <c r="K11" s="43">
        <v>1061482.3959999999</v>
      </c>
      <c r="L11" s="43">
        <v>1254462.1605</v>
      </c>
      <c r="M11" s="43">
        <f>+AVANCES!H4</f>
        <v>1406797.4580000001</v>
      </c>
      <c r="AL11" s="80">
        <v>130264.04</v>
      </c>
      <c r="AN11" s="101"/>
    </row>
    <row r="12" spans="1:41" x14ac:dyDescent="0.25">
      <c r="B12" s="39"/>
    </row>
    <row r="13" spans="1:41" x14ac:dyDescent="0.25">
      <c r="C13" s="39">
        <f t="shared" ref="C13:J13" si="1">+C11-C7</f>
        <v>10296.774999999998</v>
      </c>
      <c r="D13" s="39">
        <f t="shared" si="1"/>
        <v>-9264.1940000000031</v>
      </c>
      <c r="E13" s="39">
        <f t="shared" si="1"/>
        <v>19541.252900000021</v>
      </c>
      <c r="F13" s="39">
        <f t="shared" si="1"/>
        <v>4381.1199999999953</v>
      </c>
      <c r="G13" s="39">
        <f t="shared" si="1"/>
        <v>2691.5598999999929</v>
      </c>
      <c r="H13" s="39">
        <f t="shared" si="1"/>
        <v>0</v>
      </c>
      <c r="I13" s="39">
        <f t="shared" si="1"/>
        <v>-14856.673699999927</v>
      </c>
      <c r="J13" s="39">
        <f t="shared" si="1"/>
        <v>-217191.32399999991</v>
      </c>
      <c r="AN13" s="98"/>
    </row>
    <row r="15" spans="1:41" x14ac:dyDescent="0.25">
      <c r="I15" s="39">
        <f>+I11-I4</f>
        <v>-479622.45299999998</v>
      </c>
      <c r="J15" s="39">
        <f>+J11-J4</f>
        <v>-743054.2733</v>
      </c>
    </row>
    <row r="16" spans="1:41" x14ac:dyDescent="0.25">
      <c r="A16" t="s">
        <v>74</v>
      </c>
      <c r="B16" s="43">
        <f>+AL4</f>
        <v>13019319.410000002</v>
      </c>
    </row>
    <row r="17" spans="8:11" x14ac:dyDescent="0.25">
      <c r="H17" s="98"/>
    </row>
    <row r="18" spans="8:11" x14ac:dyDescent="0.25">
      <c r="H18" s="98"/>
      <c r="K18" s="43">
        <v>1419376.3306999998</v>
      </c>
    </row>
    <row r="19" spans="8:11" x14ac:dyDescent="0.25">
      <c r="H19" s="98"/>
      <c r="K19" s="39">
        <f>+K18-K7</f>
        <v>46918.303199999966</v>
      </c>
    </row>
    <row r="20" spans="8:11" x14ac:dyDescent="0.25">
      <c r="H20" s="99"/>
    </row>
    <row r="21" spans="8:11" x14ac:dyDescent="0.25">
      <c r="H21" s="99"/>
    </row>
    <row r="23" spans="8:11" x14ac:dyDescent="0.25">
      <c r="H23" s="98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E3E-023B-4603-B556-41A548AFAA08}">
  <dimension ref="D5:L23"/>
  <sheetViews>
    <sheetView workbookViewId="0">
      <selection activeCell="G27" sqref="G27"/>
    </sheetView>
  </sheetViews>
  <sheetFormatPr baseColWidth="10" defaultRowHeight="15" x14ac:dyDescent="0.25"/>
  <cols>
    <col min="4" max="4" width="26.5703125" bestFit="1" customWidth="1"/>
    <col min="5" max="5" width="8.7109375" customWidth="1"/>
    <col min="6" max="7" width="16.42578125" customWidth="1"/>
    <col min="9" max="9" width="26.5703125" bestFit="1" customWidth="1"/>
    <col min="11" max="13" width="14" customWidth="1"/>
  </cols>
  <sheetData>
    <row r="5" spans="4:12" x14ac:dyDescent="0.25">
      <c r="D5" s="109" t="s">
        <v>76</v>
      </c>
      <c r="E5" s="109" t="s">
        <v>425</v>
      </c>
      <c r="F5" s="110">
        <v>46153</v>
      </c>
      <c r="G5" s="109" t="s">
        <v>426</v>
      </c>
      <c r="H5" s="109"/>
      <c r="I5" s="109" t="s">
        <v>76</v>
      </c>
      <c r="J5" s="109" t="s">
        <v>438</v>
      </c>
      <c r="K5" s="109" t="s">
        <v>439</v>
      </c>
      <c r="L5" s="109" t="s">
        <v>440</v>
      </c>
    </row>
    <row r="6" spans="4:12" x14ac:dyDescent="0.25">
      <c r="D6" s="109" t="s">
        <v>427</v>
      </c>
      <c r="E6" s="109" t="s">
        <v>428</v>
      </c>
      <c r="F6" s="110">
        <v>46331.333333333336</v>
      </c>
      <c r="G6" s="110">
        <v>46301.5</v>
      </c>
      <c r="H6" s="109"/>
      <c r="I6" s="109" t="s">
        <v>427</v>
      </c>
      <c r="J6" s="109" t="s">
        <v>441</v>
      </c>
      <c r="K6" s="109" t="s">
        <v>439</v>
      </c>
      <c r="L6" s="109" t="s">
        <v>442</v>
      </c>
    </row>
    <row r="7" spans="4:12" x14ac:dyDescent="0.25">
      <c r="D7" s="109" t="s">
        <v>407</v>
      </c>
      <c r="E7" s="109" t="s">
        <v>429</v>
      </c>
      <c r="F7" s="110">
        <v>46331.333333333336</v>
      </c>
      <c r="G7" s="109" t="s">
        <v>430</v>
      </c>
      <c r="H7" s="109"/>
      <c r="I7" s="109" t="s">
        <v>407</v>
      </c>
      <c r="J7" s="109" t="s">
        <v>443</v>
      </c>
      <c r="K7" s="109" t="s">
        <v>439</v>
      </c>
      <c r="L7" s="109" t="s">
        <v>444</v>
      </c>
    </row>
    <row r="8" spans="4:12" x14ac:dyDescent="0.25">
      <c r="D8" s="109" t="s">
        <v>405</v>
      </c>
      <c r="E8" s="109" t="s">
        <v>431</v>
      </c>
      <c r="F8" s="109" t="s">
        <v>432</v>
      </c>
      <c r="G8" s="110">
        <v>46478.125</v>
      </c>
      <c r="H8" s="109"/>
      <c r="I8" s="109" t="s">
        <v>405</v>
      </c>
      <c r="J8" s="109" t="s">
        <v>445</v>
      </c>
      <c r="K8" s="109" t="s">
        <v>446</v>
      </c>
      <c r="L8" s="109" t="s">
        <v>447</v>
      </c>
    </row>
    <row r="9" spans="4:12" x14ac:dyDescent="0.25">
      <c r="D9" s="109" t="s">
        <v>433</v>
      </c>
      <c r="E9" s="109" t="s">
        <v>431</v>
      </c>
      <c r="F9" s="109" t="s">
        <v>432</v>
      </c>
      <c r="G9" s="110">
        <v>46478.125</v>
      </c>
      <c r="H9" s="109"/>
      <c r="I9" s="109" t="s">
        <v>433</v>
      </c>
      <c r="J9" s="109" t="s">
        <v>445</v>
      </c>
      <c r="K9" s="109" t="s">
        <v>446</v>
      </c>
      <c r="L9" s="109" t="s">
        <v>447</v>
      </c>
    </row>
    <row r="10" spans="4:12" x14ac:dyDescent="0.25">
      <c r="D10" s="109" t="s">
        <v>77</v>
      </c>
      <c r="E10" s="109" t="s">
        <v>434</v>
      </c>
      <c r="F10" s="109" t="s">
        <v>435</v>
      </c>
      <c r="G10" s="109" t="s">
        <v>436</v>
      </c>
      <c r="H10" s="109"/>
      <c r="I10" s="109" t="s">
        <v>77</v>
      </c>
      <c r="J10" s="109" t="s">
        <v>448</v>
      </c>
      <c r="K10" s="109" t="s">
        <v>449</v>
      </c>
      <c r="L10" s="109" t="s">
        <v>440</v>
      </c>
    </row>
    <row r="11" spans="4:12" x14ac:dyDescent="0.25">
      <c r="D11" s="109" t="s">
        <v>299</v>
      </c>
      <c r="E11" s="109" t="s">
        <v>434</v>
      </c>
      <c r="F11" s="109" t="s">
        <v>435</v>
      </c>
      <c r="G11" s="109" t="s">
        <v>436</v>
      </c>
      <c r="H11" s="109"/>
      <c r="I11" s="109" t="s">
        <v>299</v>
      </c>
      <c r="J11" s="109" t="s">
        <v>448</v>
      </c>
      <c r="K11" s="109" t="s">
        <v>449</v>
      </c>
      <c r="L11" s="109" t="s">
        <v>440</v>
      </c>
    </row>
    <row r="12" spans="4:12" x14ac:dyDescent="0.25">
      <c r="D12" s="109" t="s">
        <v>404</v>
      </c>
      <c r="E12" s="109" t="s">
        <v>437</v>
      </c>
      <c r="F12" s="110">
        <v>46301.5</v>
      </c>
      <c r="G12" s="109" t="s">
        <v>426</v>
      </c>
      <c r="H12" s="109"/>
      <c r="I12" s="109" t="s">
        <v>404</v>
      </c>
      <c r="J12" s="109" t="s">
        <v>450</v>
      </c>
      <c r="K12" s="109" t="s">
        <v>442</v>
      </c>
      <c r="L12" s="109" t="s">
        <v>440</v>
      </c>
    </row>
    <row r="16" spans="4:12" x14ac:dyDescent="0.25">
      <c r="F16" s="87">
        <v>46153</v>
      </c>
      <c r="G16" s="87">
        <v>46042</v>
      </c>
      <c r="H16" s="87">
        <v>46042</v>
      </c>
      <c r="I16" s="88">
        <f>+H16-G16</f>
        <v>0</v>
      </c>
      <c r="K16" s="87">
        <v>46153</v>
      </c>
      <c r="L16" s="87">
        <v>46042</v>
      </c>
    </row>
    <row r="17" spans="6:12" x14ac:dyDescent="0.25">
      <c r="F17" s="87">
        <v>46153</v>
      </c>
      <c r="G17" s="87">
        <v>46183</v>
      </c>
      <c r="H17" s="87">
        <v>46183</v>
      </c>
      <c r="I17" s="88">
        <f t="shared" ref="I17:I23" si="0">+H17-G17</f>
        <v>0</v>
      </c>
      <c r="K17" s="87">
        <v>46153</v>
      </c>
      <c r="L17" s="87">
        <v>46183</v>
      </c>
    </row>
    <row r="18" spans="6:12" x14ac:dyDescent="0.25">
      <c r="F18" s="87">
        <v>46153</v>
      </c>
      <c r="G18" s="87"/>
      <c r="H18" s="87">
        <v>46378</v>
      </c>
      <c r="I18" s="88">
        <f t="shared" si="0"/>
        <v>46378</v>
      </c>
      <c r="K18" s="87">
        <v>46153</v>
      </c>
      <c r="L18" s="87">
        <v>46378</v>
      </c>
    </row>
    <row r="19" spans="6:12" x14ac:dyDescent="0.25">
      <c r="F19" s="87">
        <v>46162</v>
      </c>
      <c r="G19" s="87">
        <v>46026</v>
      </c>
      <c r="H19" s="87">
        <v>46026</v>
      </c>
      <c r="I19" s="88">
        <f t="shared" si="0"/>
        <v>0</v>
      </c>
      <c r="K19" s="87">
        <v>46162</v>
      </c>
      <c r="L19" s="87">
        <v>46026</v>
      </c>
    </row>
    <row r="20" spans="6:12" x14ac:dyDescent="0.25">
      <c r="F20" s="87">
        <v>46162</v>
      </c>
      <c r="G20" s="87">
        <v>46026</v>
      </c>
      <c r="H20" s="87">
        <v>46026</v>
      </c>
      <c r="I20" s="88">
        <f t="shared" si="0"/>
        <v>0</v>
      </c>
      <c r="K20" s="87">
        <v>46162</v>
      </c>
      <c r="L20" s="87">
        <v>46026</v>
      </c>
    </row>
    <row r="21" spans="6:12" x14ac:dyDescent="0.25">
      <c r="F21" s="87">
        <v>46171</v>
      </c>
      <c r="G21" s="87">
        <v>46040</v>
      </c>
      <c r="H21" s="87">
        <v>46042</v>
      </c>
      <c r="I21" s="88">
        <f t="shared" si="0"/>
        <v>2</v>
      </c>
      <c r="K21" s="87">
        <v>46175</v>
      </c>
      <c r="L21" s="87">
        <v>46042</v>
      </c>
    </row>
    <row r="22" spans="6:12" x14ac:dyDescent="0.25">
      <c r="F22" s="87">
        <v>46171</v>
      </c>
      <c r="G22" s="87">
        <v>46040</v>
      </c>
      <c r="H22" s="87">
        <v>46042</v>
      </c>
      <c r="I22" s="88">
        <f t="shared" si="0"/>
        <v>2</v>
      </c>
      <c r="K22" s="87">
        <v>46175</v>
      </c>
      <c r="L22" s="87">
        <v>46042</v>
      </c>
    </row>
    <row r="23" spans="6:12" x14ac:dyDescent="0.25">
      <c r="F23" s="87">
        <v>46183</v>
      </c>
      <c r="G23" s="87">
        <v>46407</v>
      </c>
      <c r="H23" s="87">
        <v>46407</v>
      </c>
      <c r="I23" s="88">
        <f t="shared" si="0"/>
        <v>0</v>
      </c>
      <c r="K23" s="87">
        <v>46183</v>
      </c>
      <c r="L23" s="87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Hoja1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2026-07-18T23:45:44Z</cp:lastPrinted>
  <dcterms:created xsi:type="dcterms:W3CDTF">2025-05-12T04:20:20Z</dcterms:created>
  <dcterms:modified xsi:type="dcterms:W3CDTF">2026-07-26T20:32:49Z</dcterms:modified>
</cp:coreProperties>
</file>